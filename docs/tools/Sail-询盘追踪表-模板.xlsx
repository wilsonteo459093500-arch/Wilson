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下拉选项" sheetId="2" state="visible" r:id="rId2"/>
    <sheet name="询盘明细" sheetId="3" state="visible" r:id="rId3"/>
    <sheet name="月度看板" sheetId="4" state="visible" r:id="rId4"/>
    <sheet name="广告成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2D4A3E"/>
      <sz val="12"/>
    </font>
    <font>
      <color rgb="009A8F7E"/>
      <sz val="9"/>
    </font>
    <font>
      <b val="1"/>
      <color rgb="00FFFFFF"/>
      <sz val="11"/>
    </font>
    <font>
      <b val="1"/>
      <color rgb="002D4A3E"/>
      <sz val="14"/>
    </font>
    <font>
      <i val="1"/>
      <color rgb="009A8F7E"/>
    </font>
    <font>
      <color rgb="00A87C4F"/>
      <sz val="9"/>
    </font>
    <font>
      <b val="1"/>
      <color rgb="002D4A3E"/>
      <sz val="16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A87C4F"/>
      </patternFill>
    </fill>
    <fill>
      <patternFill patternType="solid">
        <fgColor rgb="00F3EFE7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10" fillId="2" borderId="0" pivotButton="0" quotePrefix="0" xfId="0"/>
    <xf numFmtId="0" fontId="0" fillId="2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0" fillId="0" borderId="1" pivotButton="0" quotePrefix="0" xfId="0"/>
    <xf numFmtId="3" fontId="0" fillId="0" borderId="1" pivotButton="0" quotePrefix="0" xfId="0"/>
    <xf numFmtId="0" fontId="9" fillId="4" borderId="0" pivotButton="0" quotePrefix="0" xfId="0"/>
    <xf numFmtId="3" fontId="8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8" fillId="0" borderId="1" applyAlignment="1" pivotButton="0" quotePrefix="0" xfId="0">
      <alignment horizontal="center" vertical="center" wrapText="1"/>
    </xf>
    <xf numFmtId="0" fontId="0" fillId="4" borderId="0" pivotButton="0" quotePrefix="0" xfId="0"/>
    <xf numFmtId="4" fontId="0" fillId="0" borderId="1" pivotButton="0" quotePrefix="0" xfId="0"/>
    <xf numFmtId="49" fontId="9" fillId="4" borderId="0" pivotButton="0" quotePrefix="0" xfId="0"/>
    <xf numFmtId="4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Sail 询盘追踪表 · 使用说明</t>
        </is>
      </c>
    </row>
    <row r="3">
      <c r="A3" s="2" t="inlineStr">
        <is>
          <t>这张表要解决什么</t>
        </is>
      </c>
      <c r="B3" s="3" t="n"/>
    </row>
    <row r="4">
      <c r="A4" s="4" t="inlineStr"/>
      <c r="B4" s="5" t="inlineStr">
        <is>
          <t>诊断书里的「100 个 PM / 70% 不回复 / 20% 嫌贵」来自记忆，不是数据。</t>
        </is>
      </c>
    </row>
    <row r="5">
      <c r="A5" s="4" t="inlineStr"/>
      <c r="B5" s="5" t="inlineStr">
        <is>
          <t>没有数据，改了话术之后你无法知道有没有效。这张表就是为了让改进可被验证。</t>
        </is>
      </c>
    </row>
    <row r="6">
      <c r="A6" s="2" t="inlineStr">
        <is>
          <t>怎么用</t>
        </is>
      </c>
      <c r="B6" s="3" t="n"/>
    </row>
    <row r="7">
      <c r="A7" s="4" t="inlineStr">
        <is>
          <t>1</t>
        </is>
      </c>
      <c r="B7" s="5" t="inlineStr">
        <is>
          <t>每来一个 PM，在「询盘明细」加一行。手机上填也行，八成字段是下拉。</t>
        </is>
      </c>
    </row>
    <row r="8">
      <c r="A8" s="4" t="inlineStr">
        <is>
          <t>2</t>
        </is>
      </c>
      <c r="B8" s="5" t="inlineStr">
        <is>
          <t>橙色表头的 5 列是必填：来源广告名 / 是否发了起步价区间 / 客人预算区间 / 分流判定 / 流失原因。</t>
        </is>
      </c>
    </row>
    <row r="9">
      <c r="A9" s="4" t="inlineStr">
        <is>
          <t>3</t>
        </is>
      </c>
      <c r="B9" s="5" t="inlineStr">
        <is>
          <t>「来源广告名」不用猜 —— Meta 广告的 wa.me 链接挂不同预填文本，客人第一句自带代号（工具 1-2）。</t>
        </is>
      </c>
    </row>
    <row r="10">
      <c r="A10" s="4" t="inlineStr">
        <is>
          <t>4</t>
        </is>
      </c>
      <c r="B10" s="5" t="inlineStr">
        <is>
          <t>每月 1 号：「月度看板」B4 改成上个月，打印 A4，就是月会材料。</t>
        </is>
      </c>
    </row>
    <row r="11">
      <c r="A11" s="4" t="inlineStr">
        <is>
          <t>5</t>
        </is>
      </c>
      <c r="B11" s="5" t="inlineStr">
        <is>
          <t>每月把 Meta 后台各广告花费填进「广告成效」C 列，加钱/关掉照 H 列判断。</t>
        </is>
      </c>
    </row>
    <row r="12">
      <c r="A12" s="2" t="inlineStr">
        <is>
          <t>每周只看 3 个数字</t>
        </is>
      </c>
      <c r="B12" s="3" t="n"/>
    </row>
    <row r="13">
      <c r="A13" s="4" t="inlineStr">
        <is>
          <t>①</t>
        </is>
      </c>
      <c r="B13" s="5" t="inlineStr">
        <is>
          <t>发出起步价区间的比例 → 目标 100%</t>
        </is>
      </c>
    </row>
    <row r="14">
      <c r="A14" s="4" t="inlineStr">
        <is>
          <t>②</t>
        </is>
      </c>
      <c r="B14" s="5" t="inlineStr">
        <is>
          <t>「到店才发现太贵」比例 → 20% 降到 5% 以下</t>
        </is>
      </c>
    </row>
    <row r="15">
      <c r="A15" s="4" t="inlineStr">
        <is>
          <t>③</t>
        </is>
      </c>
      <c r="B15" s="5" t="inlineStr">
        <is>
          <t>B+C 类中收到局部定制方案的比例 → 目标 100%</t>
        </is>
      </c>
    </row>
    <row r="16">
      <c r="A16" s="2" t="inlineStr">
        <is>
          <t>注意</t>
        </is>
      </c>
      <c r="B16" s="3" t="n"/>
    </row>
    <row r="17">
      <c r="A17" s="4" t="inlineStr"/>
      <c r="B17" s="5" t="inlineStr">
        <is>
          <t>跑 1–2 个月、字段口径稳定之后，再把这几列搬进 Sail CRM（见工具 1-3）。不要反过来，否则要改两次。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6" t="inlineStr">
        <is>
          <t>下拉选项维护表（改这里，整张表的下拉跟着变）</t>
        </is>
      </c>
    </row>
    <row r="2">
      <c r="A2" s="7" t="inlineStr">
        <is>
          <t>※「B_来源广告」按你们实际在投的广告维护，前面 3 个字母是 wa.me 预填文本里的代号（见工具 1-2）</t>
        </is>
      </c>
    </row>
    <row r="4">
      <c r="A4" s="8" t="inlineStr">
        <is>
          <t>渠道</t>
        </is>
      </c>
      <c r="B4" s="8" t="inlineStr">
        <is>
          <t>来源广告</t>
        </is>
      </c>
      <c r="C4" s="8" t="inlineStr">
        <is>
          <t>是否</t>
        </is>
      </c>
      <c r="D4" s="8" t="inlineStr">
        <is>
          <t>预算区间</t>
        </is>
      </c>
      <c r="E4" s="8" t="inlineStr">
        <is>
          <t>分流判定</t>
        </is>
      </c>
      <c r="F4" s="8" t="inlineStr">
        <is>
          <t>当前阶段</t>
        </is>
      </c>
      <c r="G4" s="8" t="inlineStr">
        <is>
          <t>流失原因</t>
        </is>
      </c>
      <c r="H4" s="8" t="inlineStr">
        <is>
          <t>用了哪张卡</t>
        </is>
      </c>
    </row>
    <row r="5">
      <c r="A5" s="9" t="inlineStr">
        <is>
          <t>Instagram</t>
        </is>
      </c>
      <c r="B5" s="9" t="inlineStr">
        <is>
          <t>SKL Skeleton Line Design</t>
        </is>
      </c>
      <c r="C5" s="9" t="inlineStr">
        <is>
          <t>是</t>
        </is>
      </c>
      <c r="D5" s="9" t="inlineStr">
        <is>
          <t>≥ 起步价A</t>
        </is>
      </c>
      <c r="E5" s="9" t="inlineStr">
        <is>
          <t>A 全屋</t>
        </is>
      </c>
      <c r="F5" s="9" t="inlineStr">
        <is>
          <t>1 新询盘</t>
        </is>
      </c>
      <c r="G5" s="9" t="inlineStr">
        <is>
          <t>报价后无回复</t>
        </is>
      </c>
      <c r="H5" s="9" t="inlineStr">
        <is>
          <t>十怕十诺</t>
        </is>
      </c>
    </row>
    <row r="6">
      <c r="A6" s="9" t="inlineStr">
        <is>
          <t>Facebook</t>
        </is>
      </c>
      <c r="B6" s="9" t="inlineStr">
        <is>
          <t>SKL1 Skeleton Line 视频</t>
        </is>
      </c>
      <c r="C6" s="9" t="inlineStr">
        <is>
          <t>否</t>
        </is>
      </c>
      <c r="D6" s="9" t="inlineStr">
        <is>
          <t>70–100% A</t>
        </is>
      </c>
      <c r="E6" s="9" t="inlineStr">
        <is>
          <t>A− 全屋(需调整)</t>
        </is>
      </c>
      <c r="F6" s="9" t="inlineStr">
        <is>
          <t>2 已发起步价区间</t>
        </is>
      </c>
      <c r="G6" s="9" t="inlineStr">
        <is>
          <t>预算不足</t>
        </is>
      </c>
      <c r="H6" s="9" t="inlineStr">
        <is>
          <t>安装成功率/四道关卡</t>
        </is>
      </c>
    </row>
    <row r="7">
      <c r="A7" s="9" t="inlineStr">
        <is>
          <t>WhatsApp</t>
        </is>
      </c>
      <c r="B7" s="9" t="inlineStr">
        <is>
          <t>BRK Book Rack</t>
        </is>
      </c>
      <c r="D7" s="9" t="inlineStr">
        <is>
          <t>50–70% A</t>
        </is>
      </c>
      <c r="E7" s="9" t="inlineStr">
        <is>
          <t>B 局部</t>
        </is>
      </c>
      <c r="F7" s="9" t="inlineStr">
        <is>
          <t>3 已约展厅</t>
        </is>
      </c>
      <c r="G7" s="9" t="inlineStr">
        <is>
          <t>只想比价</t>
        </is>
      </c>
      <c r="H7" s="9" t="inlineStr">
        <is>
          <t>真实案例</t>
        </is>
      </c>
    </row>
    <row r="8">
      <c r="A8" s="9" t="inlineStr">
        <is>
          <t>TikTok</t>
        </is>
      </c>
      <c r="B8" s="9" t="inlineStr">
        <is>
          <t>KCS Kitchen Case Study</t>
        </is>
      </c>
      <c r="D8" s="9" t="inlineStr">
        <is>
          <t>&lt; 50% A</t>
        </is>
      </c>
      <c r="E8" s="9" t="inlineStr">
        <is>
          <t>C 培育</t>
        </is>
      </c>
      <c r="F8" s="9" t="inlineStr">
        <is>
          <t>4 已到访展厅</t>
        </is>
      </c>
      <c r="G8" s="9" t="inlineStr">
        <is>
          <t>时间未到</t>
        </is>
      </c>
      <c r="H8" s="9" t="inlineStr">
        <is>
          <t>局部定制方案</t>
        </is>
      </c>
    </row>
    <row r="9">
      <c r="A9" s="9" t="inlineStr">
        <is>
          <t>Rednote</t>
        </is>
      </c>
      <c r="B9" s="9" t="inlineStr">
        <is>
          <t>KIT1 Kitchen 视频</t>
        </is>
      </c>
      <c r="D9" s="9" t="inlineStr">
        <is>
          <t>未透露</t>
        </is>
      </c>
      <c r="E9" s="9" t="inlineStr">
        <is>
          <t>未定</t>
        </is>
      </c>
      <c r="F9" s="9" t="inlineStr">
        <is>
          <t>5 已发详细报价</t>
        </is>
      </c>
      <c r="G9" s="9" t="inlineStr">
        <is>
          <t>选了别家</t>
        </is>
      </c>
      <c r="H9" s="9" t="inlineStr">
        <is>
          <t>价格里包含什么</t>
        </is>
      </c>
    </row>
    <row r="10">
      <c r="A10" s="9" t="inlineStr">
        <is>
          <t>Website</t>
        </is>
      </c>
      <c r="B10" s="9" t="inlineStr">
        <is>
          <t>WSE Wabi-Sabi Eastern</t>
        </is>
      </c>
      <c r="F10" s="9" t="inlineStr">
        <is>
          <t>6 设计中</t>
        </is>
      </c>
      <c r="G10" s="9" t="inlineStr">
        <is>
          <t>联系不上</t>
        </is>
      </c>
      <c r="H10" s="9" t="inlineStr">
        <is>
          <t>无</t>
        </is>
      </c>
    </row>
    <row r="11">
      <c r="A11" s="9" t="inlineStr">
        <is>
          <t>Walk-in</t>
        </is>
      </c>
      <c r="B11" s="9" t="inlineStr">
        <is>
          <t>BRD Brand Intro</t>
        </is>
      </c>
      <c r="F11" s="9" t="inlineStr">
        <is>
          <t>7 已成交</t>
        </is>
      </c>
      <c r="G11" s="9" t="inlineStr">
        <is>
          <t>其他</t>
        </is>
      </c>
    </row>
    <row r="12">
      <c r="A12" s="9" t="inlineStr">
        <is>
          <t>Referral</t>
        </is>
      </c>
      <c r="B12" s="9" t="inlineStr">
        <is>
          <t>ONE 单空间广告</t>
        </is>
      </c>
      <c r="F12" s="9" t="inlineStr">
        <is>
          <t>X 流失</t>
        </is>
      </c>
      <c r="G12" s="9" t="inlineStr">
        <is>
          <t>—(未流失)</t>
        </is>
      </c>
    </row>
    <row r="13">
      <c r="A13" s="9" t="inlineStr">
        <is>
          <t>其他</t>
        </is>
      </c>
      <c r="B13" s="9" t="inlineStr">
        <is>
          <t>自然流量/非广告</t>
        </is>
      </c>
    </row>
    <row r="14">
      <c r="B14" s="9" t="inlineStr">
        <is>
          <t>不确定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4" customWidth="1" min="4" max="4"/>
    <col width="15" customWidth="1" min="5" max="5"/>
    <col width="15" customWidth="1" min="6" max="6"/>
    <col width="15" customWidth="1" min="7" max="7"/>
    <col width="11" customWidth="1" min="8" max="8"/>
    <col width="11" customWidth="1" min="9" max="9"/>
    <col width="18" customWidth="1" min="10" max="10"/>
    <col width="16" customWidth="1" min="11" max="11"/>
    <col width="14" customWidth="1" min="12" max="12"/>
    <col width="12" customWidth="1" min="13" max="13"/>
    <col width="34" customWidth="1" min="14" max="14"/>
  </cols>
  <sheetData>
    <row r="1">
      <c r="A1" s="10" t="inlineStr">
        <is>
          <t>Sail 询盘追踪表 · 询盘明细</t>
        </is>
      </c>
    </row>
    <row r="2">
      <c r="A2" s="7" t="inlineStr">
        <is>
          <t>一行一个 PM。灰色列是必填 5 项（少一项整张表就白填了）。下拉选项在「下拉选项」页维护。</t>
        </is>
      </c>
    </row>
    <row r="3">
      <c r="N3" s="11" t="inlineStr">
        <is>
          <t>↓ 第 5 行是示范行，开始用之前删掉</t>
        </is>
      </c>
    </row>
    <row r="4" ht="34" customHeight="1">
      <c r="A4" s="12" t="inlineStr">
        <is>
          <t>日期</t>
        </is>
      </c>
      <c r="B4" s="12" t="inlineStr">
        <is>
          <t>客人姓名/代号</t>
        </is>
      </c>
      <c r="C4" s="12" t="inlineStr">
        <is>
          <t>渠道</t>
        </is>
      </c>
      <c r="D4" s="13" t="inlineStr">
        <is>
          <t>来源广告名</t>
        </is>
      </c>
      <c r="E4" s="13" t="inlineStr">
        <is>
          <t>是否发了起步价区间</t>
        </is>
      </c>
      <c r="F4" s="13" t="inlineStr">
        <is>
          <t>客人预算区间</t>
        </is>
      </c>
      <c r="G4" s="13" t="inlineStr">
        <is>
          <t>分流判定 A/B/C</t>
        </is>
      </c>
      <c r="H4" s="12" t="inlineStr">
        <is>
          <t>是否约展厅</t>
        </is>
      </c>
      <c r="I4" s="12" t="inlineStr">
        <is>
          <t>是否到访展厅</t>
        </is>
      </c>
      <c r="J4" s="12" t="inlineStr">
        <is>
          <t>本次用了哪张卡</t>
        </is>
      </c>
      <c r="K4" s="12" t="inlineStr">
        <is>
          <t>当前阶段</t>
        </is>
      </c>
      <c r="L4" s="13" t="inlineStr">
        <is>
          <t>流失原因</t>
        </is>
      </c>
      <c r="M4" s="12" t="inlineStr">
        <is>
          <t>报价额 RM</t>
        </is>
      </c>
      <c r="N4" s="12" t="inlineStr">
        <is>
          <t>备注</t>
        </is>
      </c>
    </row>
    <row r="5">
      <c r="A5" s="14" t="inlineStr">
        <is>
          <t>2026-09-01</t>
        </is>
      </c>
      <c r="B5" s="15" t="inlineStr">
        <is>
          <t>Ms Tan (016-xxx)</t>
        </is>
      </c>
      <c r="C5" s="15" t="inlineStr">
        <is>
          <t>WhatsApp</t>
        </is>
      </c>
      <c r="D5" s="15" t="inlineStr">
        <is>
          <t>KCS Kitchen Case Study</t>
        </is>
      </c>
      <c r="E5" s="15" t="inlineStr">
        <is>
          <t>是</t>
        </is>
      </c>
      <c r="F5" s="15" t="inlineStr">
        <is>
          <t>50–70% A</t>
        </is>
      </c>
      <c r="G5" s="15" t="inlineStr">
        <is>
          <t>B 局部</t>
        </is>
      </c>
      <c r="H5" s="15" t="inlineStr">
        <is>
          <t>否</t>
        </is>
      </c>
      <c r="I5" s="15" t="inlineStr">
        <is>
          <t>否</t>
        </is>
      </c>
      <c r="J5" s="15" t="inlineStr">
        <is>
          <t>局部定制方案</t>
        </is>
      </c>
      <c r="K5" s="15" t="inlineStr">
        <is>
          <t>2 已发起步价区间</t>
        </is>
      </c>
      <c r="L5" s="15" t="inlineStr">
        <is>
          <t>—(未流失)</t>
        </is>
      </c>
      <c r="M5" s="16" t="n"/>
      <c r="N5" s="15" t="inlineStr">
        <is>
          <t>广告带 [KCS] 代号；已发单空间一页纸，等回复</t>
        </is>
      </c>
    </row>
    <row r="6">
      <c r="A6" s="17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8" t="n"/>
      <c r="N6" s="9" t="n"/>
    </row>
    <row r="7">
      <c r="A7" s="17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18" t="n"/>
      <c r="N7" s="9" t="n"/>
    </row>
    <row r="8">
      <c r="A8" s="17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18" t="n"/>
      <c r="N8" s="9" t="n"/>
    </row>
    <row r="9">
      <c r="A9" s="17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18" t="n"/>
      <c r="N9" s="9" t="n"/>
    </row>
    <row r="10">
      <c r="A10" s="17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18" t="n"/>
      <c r="N10" s="9" t="n"/>
    </row>
    <row r="11">
      <c r="A11" s="17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18" t="n"/>
      <c r="N11" s="9" t="n"/>
    </row>
    <row r="12">
      <c r="A12" s="17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18" t="n"/>
      <c r="N12" s="9" t="n"/>
    </row>
    <row r="13">
      <c r="A13" s="17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18" t="n"/>
      <c r="N13" s="9" t="n"/>
    </row>
    <row r="14">
      <c r="A14" s="17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18" t="n"/>
      <c r="N14" s="9" t="n"/>
    </row>
    <row r="15">
      <c r="A15" s="17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18" t="n"/>
      <c r="N15" s="9" t="n"/>
    </row>
    <row r="16">
      <c r="A16" s="17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18" t="n"/>
      <c r="N16" s="9" t="n"/>
    </row>
    <row r="17">
      <c r="A17" s="17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18" t="n"/>
      <c r="N17" s="9" t="n"/>
    </row>
    <row r="18">
      <c r="A18" s="17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18" t="n"/>
      <c r="N18" s="9" t="n"/>
    </row>
    <row r="19">
      <c r="A19" s="17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18" t="n"/>
      <c r="N19" s="9" t="n"/>
    </row>
    <row r="20">
      <c r="A20" s="17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18" t="n"/>
      <c r="N20" s="9" t="n"/>
    </row>
    <row r="21">
      <c r="A21" s="17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18" t="n"/>
      <c r="N21" s="9" t="n"/>
    </row>
    <row r="22">
      <c r="A22" s="17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18" t="n"/>
      <c r="N22" s="9" t="n"/>
    </row>
    <row r="23">
      <c r="A23" s="17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18" t="n"/>
      <c r="N23" s="9" t="n"/>
    </row>
    <row r="24">
      <c r="A24" s="17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18" t="n"/>
      <c r="N24" s="9" t="n"/>
    </row>
    <row r="25">
      <c r="A25" s="17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18" t="n"/>
      <c r="N25" s="9" t="n"/>
    </row>
    <row r="26">
      <c r="A26" s="17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18" t="n"/>
      <c r="N26" s="9" t="n"/>
    </row>
    <row r="27">
      <c r="A27" s="17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18" t="n"/>
      <c r="N27" s="9" t="n"/>
    </row>
    <row r="28">
      <c r="A28" s="17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18" t="n"/>
      <c r="N28" s="9" t="n"/>
    </row>
    <row r="29">
      <c r="A29" s="17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18" t="n"/>
      <c r="N29" s="9" t="n"/>
    </row>
    <row r="30">
      <c r="A30" s="17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8" t="n"/>
      <c r="N30" s="9" t="n"/>
    </row>
    <row r="31">
      <c r="A31" s="17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18" t="n"/>
      <c r="N31" s="9" t="n"/>
    </row>
    <row r="32">
      <c r="A32" s="17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18" t="n"/>
      <c r="N32" s="9" t="n"/>
    </row>
    <row r="33">
      <c r="A33" s="17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18" t="n"/>
      <c r="N33" s="9" t="n"/>
    </row>
    <row r="34">
      <c r="A34" s="17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18" t="n"/>
      <c r="N34" s="9" t="n"/>
    </row>
    <row r="35">
      <c r="A35" s="17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18" t="n"/>
      <c r="N35" s="9" t="n"/>
    </row>
    <row r="36">
      <c r="A36" s="17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18" t="n"/>
      <c r="N36" s="9" t="n"/>
    </row>
    <row r="37">
      <c r="A37" s="17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18" t="n"/>
      <c r="N37" s="9" t="n"/>
    </row>
    <row r="38">
      <c r="A38" s="17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18" t="n"/>
      <c r="N38" s="9" t="n"/>
    </row>
    <row r="39">
      <c r="A39" s="17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18" t="n"/>
      <c r="N39" s="9" t="n"/>
    </row>
    <row r="40">
      <c r="A40" s="17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18" t="n"/>
      <c r="N40" s="9" t="n"/>
    </row>
    <row r="41">
      <c r="A41" s="17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18" t="n"/>
      <c r="N41" s="9" t="n"/>
    </row>
    <row r="42">
      <c r="A42" s="17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18" t="n"/>
      <c r="N42" s="9" t="n"/>
    </row>
    <row r="43">
      <c r="A43" s="17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18" t="n"/>
      <c r="N43" s="9" t="n"/>
    </row>
    <row r="44">
      <c r="A44" s="17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18" t="n"/>
      <c r="N44" s="9" t="n"/>
    </row>
    <row r="45">
      <c r="A45" s="17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18" t="n"/>
      <c r="N45" s="9" t="n"/>
    </row>
    <row r="46">
      <c r="A46" s="17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18" t="n"/>
      <c r="N46" s="9" t="n"/>
    </row>
    <row r="47">
      <c r="A47" s="17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18" t="n"/>
      <c r="N47" s="9" t="n"/>
    </row>
    <row r="48">
      <c r="A48" s="17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18" t="n"/>
      <c r="N48" s="9" t="n"/>
    </row>
    <row r="49">
      <c r="A49" s="17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18" t="n"/>
      <c r="N49" s="9" t="n"/>
    </row>
    <row r="50">
      <c r="A50" s="17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18" t="n"/>
      <c r="N50" s="9" t="n"/>
    </row>
    <row r="51">
      <c r="A51" s="17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18" t="n"/>
      <c r="N51" s="9" t="n"/>
    </row>
    <row r="52">
      <c r="A52" s="17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18" t="n"/>
      <c r="N52" s="9" t="n"/>
    </row>
    <row r="53">
      <c r="A53" s="17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18" t="n"/>
      <c r="N53" s="9" t="n"/>
    </row>
    <row r="54">
      <c r="A54" s="17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18" t="n"/>
      <c r="N54" s="9" t="n"/>
    </row>
    <row r="55">
      <c r="A55" s="17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18" t="n"/>
      <c r="N55" s="9" t="n"/>
    </row>
    <row r="56">
      <c r="A56" s="17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18" t="n"/>
      <c r="N56" s="9" t="n"/>
    </row>
    <row r="57">
      <c r="A57" s="17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18" t="n"/>
      <c r="N57" s="9" t="n"/>
    </row>
    <row r="58">
      <c r="A58" s="17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18" t="n"/>
      <c r="N58" s="9" t="n"/>
    </row>
    <row r="59">
      <c r="A59" s="17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18" t="n"/>
      <c r="N59" s="9" t="n"/>
    </row>
    <row r="60">
      <c r="A60" s="17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18" t="n"/>
      <c r="N60" s="9" t="n"/>
    </row>
    <row r="61">
      <c r="A61" s="17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18" t="n"/>
      <c r="N61" s="9" t="n"/>
    </row>
    <row r="62">
      <c r="A62" s="17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18" t="n"/>
      <c r="N62" s="9" t="n"/>
    </row>
    <row r="63">
      <c r="A63" s="17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18" t="n"/>
      <c r="N63" s="9" t="n"/>
    </row>
    <row r="64">
      <c r="A64" s="17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18" t="n"/>
      <c r="N64" s="9" t="n"/>
    </row>
    <row r="65">
      <c r="A65" s="17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18" t="n"/>
      <c r="N65" s="9" t="n"/>
    </row>
    <row r="66">
      <c r="A66" s="17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18" t="n"/>
      <c r="N66" s="9" t="n"/>
    </row>
    <row r="67">
      <c r="A67" s="17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18" t="n"/>
      <c r="N67" s="9" t="n"/>
    </row>
    <row r="68">
      <c r="A68" s="17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18" t="n"/>
      <c r="N68" s="9" t="n"/>
    </row>
    <row r="69">
      <c r="A69" s="17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18" t="n"/>
      <c r="N69" s="9" t="n"/>
    </row>
    <row r="70">
      <c r="A70" s="17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18" t="n"/>
      <c r="N70" s="9" t="n"/>
    </row>
    <row r="71">
      <c r="A71" s="17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18" t="n"/>
      <c r="N71" s="9" t="n"/>
    </row>
    <row r="72">
      <c r="A72" s="17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18" t="n"/>
      <c r="N72" s="9" t="n"/>
    </row>
    <row r="73">
      <c r="A73" s="17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18" t="n"/>
      <c r="N73" s="9" t="n"/>
    </row>
    <row r="74">
      <c r="A74" s="17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18" t="n"/>
      <c r="N74" s="9" t="n"/>
    </row>
    <row r="75">
      <c r="A75" s="17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18" t="n"/>
      <c r="N75" s="9" t="n"/>
    </row>
    <row r="76">
      <c r="A76" s="17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18" t="n"/>
      <c r="N76" s="9" t="n"/>
    </row>
    <row r="77">
      <c r="A77" s="17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18" t="n"/>
      <c r="N77" s="9" t="n"/>
    </row>
    <row r="78">
      <c r="A78" s="17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18" t="n"/>
      <c r="N78" s="9" t="n"/>
    </row>
    <row r="79">
      <c r="A79" s="17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18" t="n"/>
      <c r="N79" s="9" t="n"/>
    </row>
    <row r="80">
      <c r="A80" s="17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18" t="n"/>
      <c r="N80" s="9" t="n"/>
    </row>
    <row r="81">
      <c r="A81" s="17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18" t="n"/>
      <c r="N81" s="9" t="n"/>
    </row>
    <row r="82">
      <c r="A82" s="17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18" t="n"/>
      <c r="N82" s="9" t="n"/>
    </row>
    <row r="83">
      <c r="A83" s="17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18" t="n"/>
      <c r="N83" s="9" t="n"/>
    </row>
    <row r="84">
      <c r="A84" s="17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18" t="n"/>
      <c r="N84" s="9" t="n"/>
    </row>
    <row r="85">
      <c r="A85" s="17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18" t="n"/>
      <c r="N85" s="9" t="n"/>
    </row>
    <row r="86">
      <c r="A86" s="17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18" t="n"/>
      <c r="N86" s="9" t="n"/>
    </row>
    <row r="87">
      <c r="A87" s="17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18" t="n"/>
      <c r="N87" s="9" t="n"/>
    </row>
    <row r="88">
      <c r="A88" s="17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18" t="n"/>
      <c r="N88" s="9" t="n"/>
    </row>
    <row r="89">
      <c r="A89" s="17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18" t="n"/>
      <c r="N89" s="9" t="n"/>
    </row>
    <row r="90">
      <c r="A90" s="17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18" t="n"/>
      <c r="N90" s="9" t="n"/>
    </row>
    <row r="91">
      <c r="A91" s="17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18" t="n"/>
      <c r="N91" s="9" t="n"/>
    </row>
    <row r="92">
      <c r="A92" s="17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18" t="n"/>
      <c r="N92" s="9" t="n"/>
    </row>
    <row r="93">
      <c r="A93" s="17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18" t="n"/>
      <c r="N93" s="9" t="n"/>
    </row>
    <row r="94">
      <c r="A94" s="17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18" t="n"/>
      <c r="N94" s="9" t="n"/>
    </row>
    <row r="95">
      <c r="A95" s="17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18" t="n"/>
      <c r="N95" s="9" t="n"/>
    </row>
    <row r="96">
      <c r="A96" s="17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18" t="n"/>
      <c r="N96" s="9" t="n"/>
    </row>
    <row r="97">
      <c r="A97" s="17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18" t="n"/>
      <c r="N97" s="9" t="n"/>
    </row>
    <row r="98">
      <c r="A98" s="17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18" t="n"/>
      <c r="N98" s="9" t="n"/>
    </row>
    <row r="99">
      <c r="A99" s="17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18" t="n"/>
      <c r="N99" s="9" t="n"/>
    </row>
    <row r="100">
      <c r="A100" s="17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18" t="n"/>
      <c r="N100" s="9" t="n"/>
    </row>
    <row r="101">
      <c r="A101" s="17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18" t="n"/>
      <c r="N101" s="9" t="n"/>
    </row>
    <row r="102">
      <c r="A102" s="17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18" t="n"/>
      <c r="N102" s="9" t="n"/>
    </row>
    <row r="103">
      <c r="A103" s="17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18" t="n"/>
      <c r="N103" s="9" t="n"/>
    </row>
    <row r="104">
      <c r="A104" s="17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18" t="n"/>
      <c r="N104" s="9" t="n"/>
    </row>
    <row r="105">
      <c r="A105" s="17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18" t="n"/>
      <c r="N105" s="9" t="n"/>
    </row>
    <row r="106">
      <c r="A106" s="17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18" t="n"/>
      <c r="N106" s="9" t="n"/>
    </row>
    <row r="107">
      <c r="A107" s="17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18" t="n"/>
      <c r="N107" s="9" t="n"/>
    </row>
    <row r="108">
      <c r="A108" s="17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18" t="n"/>
      <c r="N108" s="9" t="n"/>
    </row>
    <row r="109">
      <c r="A109" s="17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18" t="n"/>
      <c r="N109" s="9" t="n"/>
    </row>
    <row r="110">
      <c r="A110" s="17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18" t="n"/>
      <c r="N110" s="9" t="n"/>
    </row>
    <row r="111">
      <c r="A111" s="17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18" t="n"/>
      <c r="N111" s="9" t="n"/>
    </row>
    <row r="112">
      <c r="A112" s="17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18" t="n"/>
      <c r="N112" s="9" t="n"/>
    </row>
    <row r="113">
      <c r="A113" s="17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18" t="n"/>
      <c r="N113" s="9" t="n"/>
    </row>
    <row r="114">
      <c r="A114" s="17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18" t="n"/>
      <c r="N114" s="9" t="n"/>
    </row>
    <row r="115">
      <c r="A115" s="17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18" t="n"/>
      <c r="N115" s="9" t="n"/>
    </row>
    <row r="116">
      <c r="A116" s="17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18" t="n"/>
      <c r="N116" s="9" t="n"/>
    </row>
    <row r="117">
      <c r="A117" s="17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18" t="n"/>
      <c r="N117" s="9" t="n"/>
    </row>
    <row r="118">
      <c r="A118" s="17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18" t="n"/>
      <c r="N118" s="9" t="n"/>
    </row>
    <row r="119">
      <c r="A119" s="17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18" t="n"/>
      <c r="N119" s="9" t="n"/>
    </row>
    <row r="120">
      <c r="A120" s="17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18" t="n"/>
      <c r="N120" s="9" t="n"/>
    </row>
    <row r="121">
      <c r="A121" s="17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18" t="n"/>
      <c r="N121" s="9" t="n"/>
    </row>
    <row r="122">
      <c r="A122" s="17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18" t="n"/>
      <c r="N122" s="9" t="n"/>
    </row>
    <row r="123">
      <c r="A123" s="17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18" t="n"/>
      <c r="N123" s="9" t="n"/>
    </row>
    <row r="124">
      <c r="A124" s="17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18" t="n"/>
      <c r="N124" s="9" t="n"/>
    </row>
    <row r="125">
      <c r="A125" s="17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18" t="n"/>
      <c r="N125" s="9" t="n"/>
    </row>
    <row r="126">
      <c r="A126" s="17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18" t="n"/>
      <c r="N126" s="9" t="n"/>
    </row>
    <row r="127">
      <c r="A127" s="17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18" t="n"/>
      <c r="N127" s="9" t="n"/>
    </row>
    <row r="128">
      <c r="A128" s="17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18" t="n"/>
      <c r="N128" s="9" t="n"/>
    </row>
    <row r="129">
      <c r="A129" s="17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18" t="n"/>
      <c r="N129" s="9" t="n"/>
    </row>
    <row r="130">
      <c r="A130" s="17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18" t="n"/>
      <c r="N130" s="9" t="n"/>
    </row>
    <row r="131">
      <c r="A131" s="17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18" t="n"/>
      <c r="N131" s="9" t="n"/>
    </row>
    <row r="132">
      <c r="A132" s="17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18" t="n"/>
      <c r="N132" s="9" t="n"/>
    </row>
    <row r="133">
      <c r="A133" s="17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18" t="n"/>
      <c r="N133" s="9" t="n"/>
    </row>
    <row r="134">
      <c r="A134" s="17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18" t="n"/>
      <c r="N134" s="9" t="n"/>
    </row>
    <row r="135">
      <c r="A135" s="17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18" t="n"/>
      <c r="N135" s="9" t="n"/>
    </row>
    <row r="136">
      <c r="A136" s="17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18" t="n"/>
      <c r="N136" s="9" t="n"/>
    </row>
    <row r="137">
      <c r="A137" s="17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18" t="n"/>
      <c r="N137" s="9" t="n"/>
    </row>
    <row r="138">
      <c r="A138" s="17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18" t="n"/>
      <c r="N138" s="9" t="n"/>
    </row>
    <row r="139">
      <c r="A139" s="17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18" t="n"/>
      <c r="N139" s="9" t="n"/>
    </row>
    <row r="140">
      <c r="A140" s="17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18" t="n"/>
      <c r="N140" s="9" t="n"/>
    </row>
    <row r="141">
      <c r="A141" s="17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18" t="n"/>
      <c r="N141" s="9" t="n"/>
    </row>
    <row r="142">
      <c r="A142" s="17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18" t="n"/>
      <c r="N142" s="9" t="n"/>
    </row>
    <row r="143">
      <c r="A143" s="17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18" t="n"/>
      <c r="N143" s="9" t="n"/>
    </row>
    <row r="144">
      <c r="A144" s="17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18" t="n"/>
      <c r="N144" s="9" t="n"/>
    </row>
    <row r="145">
      <c r="A145" s="17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18" t="n"/>
      <c r="N145" s="9" t="n"/>
    </row>
    <row r="146">
      <c r="A146" s="17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18" t="n"/>
      <c r="N146" s="9" t="n"/>
    </row>
    <row r="147">
      <c r="A147" s="17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18" t="n"/>
      <c r="N147" s="9" t="n"/>
    </row>
    <row r="148">
      <c r="A148" s="17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18" t="n"/>
      <c r="N148" s="9" t="n"/>
    </row>
    <row r="149">
      <c r="A149" s="17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18" t="n"/>
      <c r="N149" s="9" t="n"/>
    </row>
    <row r="150">
      <c r="A150" s="17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18" t="n"/>
      <c r="N150" s="9" t="n"/>
    </row>
    <row r="151">
      <c r="A151" s="17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18" t="n"/>
      <c r="N151" s="9" t="n"/>
    </row>
    <row r="152">
      <c r="A152" s="17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18" t="n"/>
      <c r="N152" s="9" t="n"/>
    </row>
    <row r="153">
      <c r="A153" s="17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18" t="n"/>
      <c r="N153" s="9" t="n"/>
    </row>
    <row r="154">
      <c r="A154" s="17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18" t="n"/>
      <c r="N154" s="9" t="n"/>
    </row>
    <row r="155">
      <c r="A155" s="17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18" t="n"/>
      <c r="N155" s="9" t="n"/>
    </row>
    <row r="156">
      <c r="A156" s="17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18" t="n"/>
      <c r="N156" s="9" t="n"/>
    </row>
    <row r="157">
      <c r="A157" s="17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18" t="n"/>
      <c r="N157" s="9" t="n"/>
    </row>
    <row r="158">
      <c r="A158" s="17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18" t="n"/>
      <c r="N158" s="9" t="n"/>
    </row>
    <row r="159">
      <c r="A159" s="17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18" t="n"/>
      <c r="N159" s="9" t="n"/>
    </row>
    <row r="160">
      <c r="A160" s="17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18" t="n"/>
      <c r="N160" s="9" t="n"/>
    </row>
    <row r="161">
      <c r="A161" s="17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18" t="n"/>
      <c r="N161" s="9" t="n"/>
    </row>
    <row r="162">
      <c r="A162" s="17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18" t="n"/>
      <c r="N162" s="9" t="n"/>
    </row>
    <row r="163">
      <c r="A163" s="17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18" t="n"/>
      <c r="N163" s="9" t="n"/>
    </row>
    <row r="164">
      <c r="A164" s="17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18" t="n"/>
      <c r="N164" s="9" t="n"/>
    </row>
    <row r="165">
      <c r="A165" s="17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18" t="n"/>
      <c r="N165" s="9" t="n"/>
    </row>
    <row r="166">
      <c r="A166" s="17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18" t="n"/>
      <c r="N166" s="9" t="n"/>
    </row>
    <row r="167">
      <c r="A167" s="17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18" t="n"/>
      <c r="N167" s="9" t="n"/>
    </row>
    <row r="168">
      <c r="A168" s="17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18" t="n"/>
      <c r="N168" s="9" t="n"/>
    </row>
    <row r="169">
      <c r="A169" s="17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18" t="n"/>
      <c r="N169" s="9" t="n"/>
    </row>
    <row r="170">
      <c r="A170" s="17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18" t="n"/>
      <c r="N170" s="9" t="n"/>
    </row>
    <row r="171">
      <c r="A171" s="17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18" t="n"/>
      <c r="N171" s="9" t="n"/>
    </row>
    <row r="172">
      <c r="A172" s="17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18" t="n"/>
      <c r="N172" s="9" t="n"/>
    </row>
    <row r="173">
      <c r="A173" s="17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18" t="n"/>
      <c r="N173" s="9" t="n"/>
    </row>
    <row r="174">
      <c r="A174" s="17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18" t="n"/>
      <c r="N174" s="9" t="n"/>
    </row>
    <row r="175">
      <c r="A175" s="17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18" t="n"/>
      <c r="N175" s="9" t="n"/>
    </row>
    <row r="176">
      <c r="A176" s="17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18" t="n"/>
      <c r="N176" s="9" t="n"/>
    </row>
    <row r="177">
      <c r="A177" s="17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18" t="n"/>
      <c r="N177" s="9" t="n"/>
    </row>
    <row r="178">
      <c r="A178" s="17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18" t="n"/>
      <c r="N178" s="9" t="n"/>
    </row>
    <row r="179">
      <c r="A179" s="17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18" t="n"/>
      <c r="N179" s="9" t="n"/>
    </row>
    <row r="180">
      <c r="A180" s="17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18" t="n"/>
      <c r="N180" s="9" t="n"/>
    </row>
    <row r="181">
      <c r="A181" s="17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18" t="n"/>
      <c r="N181" s="9" t="n"/>
    </row>
    <row r="182">
      <c r="A182" s="17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18" t="n"/>
      <c r="N182" s="9" t="n"/>
    </row>
    <row r="183">
      <c r="A183" s="17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18" t="n"/>
      <c r="N183" s="9" t="n"/>
    </row>
    <row r="184">
      <c r="A184" s="17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18" t="n"/>
      <c r="N184" s="9" t="n"/>
    </row>
    <row r="185">
      <c r="A185" s="17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18" t="n"/>
      <c r="N185" s="9" t="n"/>
    </row>
    <row r="186">
      <c r="A186" s="17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18" t="n"/>
      <c r="N186" s="9" t="n"/>
    </row>
    <row r="187">
      <c r="A187" s="17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18" t="n"/>
      <c r="N187" s="9" t="n"/>
    </row>
    <row r="188">
      <c r="A188" s="17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18" t="n"/>
      <c r="N188" s="9" t="n"/>
    </row>
    <row r="189">
      <c r="A189" s="17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18" t="n"/>
      <c r="N189" s="9" t="n"/>
    </row>
    <row r="190">
      <c r="A190" s="17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18" t="n"/>
      <c r="N190" s="9" t="n"/>
    </row>
    <row r="191">
      <c r="A191" s="17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18" t="n"/>
      <c r="N191" s="9" t="n"/>
    </row>
    <row r="192">
      <c r="A192" s="17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18" t="n"/>
      <c r="N192" s="9" t="n"/>
    </row>
    <row r="193">
      <c r="A193" s="17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18" t="n"/>
      <c r="N193" s="9" t="n"/>
    </row>
    <row r="194">
      <c r="A194" s="17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18" t="n"/>
      <c r="N194" s="9" t="n"/>
    </row>
    <row r="195">
      <c r="A195" s="17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18" t="n"/>
      <c r="N195" s="9" t="n"/>
    </row>
    <row r="196">
      <c r="A196" s="17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18" t="n"/>
      <c r="N196" s="9" t="n"/>
    </row>
    <row r="197">
      <c r="A197" s="17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18" t="n"/>
      <c r="N197" s="9" t="n"/>
    </row>
    <row r="198">
      <c r="A198" s="17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18" t="n"/>
      <c r="N198" s="9" t="n"/>
    </row>
    <row r="199">
      <c r="A199" s="17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18" t="n"/>
      <c r="N199" s="9" t="n"/>
    </row>
    <row r="200">
      <c r="A200" s="17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18" t="n"/>
      <c r="N200" s="9" t="n"/>
    </row>
    <row r="201">
      <c r="A201" s="17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18" t="n"/>
      <c r="N201" s="9" t="n"/>
    </row>
    <row r="202">
      <c r="A202" s="17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18" t="n"/>
      <c r="N202" s="9" t="n"/>
    </row>
    <row r="203">
      <c r="A203" s="17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18" t="n"/>
      <c r="N203" s="9" t="n"/>
    </row>
    <row r="204">
      <c r="A204" s="17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18" t="n"/>
      <c r="N204" s="9" t="n"/>
    </row>
    <row r="205">
      <c r="A205" s="17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18" t="n"/>
      <c r="N205" s="9" t="n"/>
    </row>
    <row r="206">
      <c r="A206" s="17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18" t="n"/>
      <c r="N206" s="9" t="n"/>
    </row>
    <row r="207">
      <c r="A207" s="17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18" t="n"/>
      <c r="N207" s="9" t="n"/>
    </row>
    <row r="208">
      <c r="A208" s="17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18" t="n"/>
      <c r="N208" s="9" t="n"/>
    </row>
    <row r="209">
      <c r="A209" s="17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18" t="n"/>
      <c r="N209" s="9" t="n"/>
    </row>
    <row r="210">
      <c r="A210" s="17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18" t="n"/>
      <c r="N210" s="9" t="n"/>
    </row>
    <row r="211">
      <c r="A211" s="17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18" t="n"/>
      <c r="N211" s="9" t="n"/>
    </row>
    <row r="212">
      <c r="A212" s="17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18" t="n"/>
      <c r="N212" s="9" t="n"/>
    </row>
    <row r="213">
      <c r="A213" s="17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18" t="n"/>
      <c r="N213" s="9" t="n"/>
    </row>
    <row r="214">
      <c r="A214" s="17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18" t="n"/>
      <c r="N214" s="9" t="n"/>
    </row>
    <row r="215">
      <c r="A215" s="17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18" t="n"/>
      <c r="N215" s="9" t="n"/>
    </row>
    <row r="216">
      <c r="A216" s="17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18" t="n"/>
      <c r="N216" s="9" t="n"/>
    </row>
    <row r="217">
      <c r="A217" s="17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18" t="n"/>
      <c r="N217" s="9" t="n"/>
    </row>
    <row r="218">
      <c r="A218" s="17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18" t="n"/>
      <c r="N218" s="9" t="n"/>
    </row>
    <row r="219">
      <c r="A219" s="17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18" t="n"/>
      <c r="N219" s="9" t="n"/>
    </row>
    <row r="220">
      <c r="A220" s="17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18" t="n"/>
      <c r="N220" s="9" t="n"/>
    </row>
    <row r="221">
      <c r="A221" s="17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18" t="n"/>
      <c r="N221" s="9" t="n"/>
    </row>
    <row r="222">
      <c r="A222" s="17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18" t="n"/>
      <c r="N222" s="9" t="n"/>
    </row>
    <row r="223">
      <c r="A223" s="17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18" t="n"/>
      <c r="N223" s="9" t="n"/>
    </row>
    <row r="224">
      <c r="A224" s="17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18" t="n"/>
      <c r="N224" s="9" t="n"/>
    </row>
    <row r="225">
      <c r="A225" s="17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18" t="n"/>
      <c r="N225" s="9" t="n"/>
    </row>
    <row r="226">
      <c r="A226" s="17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18" t="n"/>
      <c r="N226" s="9" t="n"/>
    </row>
    <row r="227">
      <c r="A227" s="17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18" t="n"/>
      <c r="N227" s="9" t="n"/>
    </row>
    <row r="228">
      <c r="A228" s="17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18" t="n"/>
      <c r="N228" s="9" t="n"/>
    </row>
    <row r="229">
      <c r="A229" s="17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18" t="n"/>
      <c r="N229" s="9" t="n"/>
    </row>
    <row r="230">
      <c r="A230" s="17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18" t="n"/>
      <c r="N230" s="9" t="n"/>
    </row>
    <row r="231">
      <c r="A231" s="17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18" t="n"/>
      <c r="N231" s="9" t="n"/>
    </row>
    <row r="232">
      <c r="A232" s="17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18" t="n"/>
      <c r="N232" s="9" t="n"/>
    </row>
    <row r="233">
      <c r="A233" s="17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18" t="n"/>
      <c r="N233" s="9" t="n"/>
    </row>
    <row r="234">
      <c r="A234" s="17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18" t="n"/>
      <c r="N234" s="9" t="n"/>
    </row>
    <row r="235">
      <c r="A235" s="17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18" t="n"/>
      <c r="N235" s="9" t="n"/>
    </row>
    <row r="236">
      <c r="A236" s="17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18" t="n"/>
      <c r="N236" s="9" t="n"/>
    </row>
    <row r="237">
      <c r="A237" s="17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18" t="n"/>
      <c r="N237" s="9" t="n"/>
    </row>
    <row r="238">
      <c r="A238" s="17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18" t="n"/>
      <c r="N238" s="9" t="n"/>
    </row>
    <row r="239">
      <c r="A239" s="17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18" t="n"/>
      <c r="N239" s="9" t="n"/>
    </row>
    <row r="240">
      <c r="A240" s="17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18" t="n"/>
      <c r="N240" s="9" t="n"/>
    </row>
    <row r="241">
      <c r="A241" s="17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18" t="n"/>
      <c r="N241" s="9" t="n"/>
    </row>
    <row r="242">
      <c r="A242" s="17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18" t="n"/>
      <c r="N242" s="9" t="n"/>
    </row>
    <row r="243">
      <c r="A243" s="17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18" t="n"/>
      <c r="N243" s="9" t="n"/>
    </row>
    <row r="244">
      <c r="A244" s="17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18" t="n"/>
      <c r="N244" s="9" t="n"/>
    </row>
    <row r="245">
      <c r="A245" s="17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18" t="n"/>
      <c r="N245" s="9" t="n"/>
    </row>
    <row r="246">
      <c r="A246" s="17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18" t="n"/>
      <c r="N246" s="9" t="n"/>
    </row>
    <row r="247">
      <c r="A247" s="17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18" t="n"/>
      <c r="N247" s="9" t="n"/>
    </row>
    <row r="248">
      <c r="A248" s="17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18" t="n"/>
      <c r="N248" s="9" t="n"/>
    </row>
    <row r="249">
      <c r="A249" s="17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18" t="n"/>
      <c r="N249" s="9" t="n"/>
    </row>
    <row r="250">
      <c r="A250" s="17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18" t="n"/>
      <c r="N250" s="9" t="n"/>
    </row>
    <row r="251">
      <c r="A251" s="17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18" t="n"/>
      <c r="N251" s="9" t="n"/>
    </row>
    <row r="252">
      <c r="A252" s="17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18" t="n"/>
      <c r="N252" s="9" t="n"/>
    </row>
    <row r="253">
      <c r="A253" s="17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18" t="n"/>
      <c r="N253" s="9" t="n"/>
    </row>
    <row r="254">
      <c r="A254" s="17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18" t="n"/>
      <c r="N254" s="9" t="n"/>
    </row>
    <row r="255">
      <c r="A255" s="17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18" t="n"/>
      <c r="N255" s="9" t="n"/>
    </row>
    <row r="256">
      <c r="A256" s="17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18" t="n"/>
      <c r="N256" s="9" t="n"/>
    </row>
    <row r="257">
      <c r="A257" s="17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18" t="n"/>
      <c r="N257" s="9" t="n"/>
    </row>
    <row r="258">
      <c r="A258" s="17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18" t="n"/>
      <c r="N258" s="9" t="n"/>
    </row>
    <row r="259">
      <c r="A259" s="17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18" t="n"/>
      <c r="N259" s="9" t="n"/>
    </row>
    <row r="260">
      <c r="A260" s="17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18" t="n"/>
      <c r="N260" s="9" t="n"/>
    </row>
    <row r="261">
      <c r="A261" s="17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18" t="n"/>
      <c r="N261" s="9" t="n"/>
    </row>
    <row r="262">
      <c r="A262" s="17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18" t="n"/>
      <c r="N262" s="9" t="n"/>
    </row>
    <row r="263">
      <c r="A263" s="17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18" t="n"/>
      <c r="N263" s="9" t="n"/>
    </row>
    <row r="264">
      <c r="A264" s="17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18" t="n"/>
      <c r="N264" s="9" t="n"/>
    </row>
    <row r="265">
      <c r="A265" s="17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18" t="n"/>
      <c r="N265" s="9" t="n"/>
    </row>
    <row r="266">
      <c r="A266" s="17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18" t="n"/>
      <c r="N266" s="9" t="n"/>
    </row>
    <row r="267">
      <c r="A267" s="17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18" t="n"/>
      <c r="N267" s="9" t="n"/>
    </row>
    <row r="268">
      <c r="A268" s="17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18" t="n"/>
      <c r="N268" s="9" t="n"/>
    </row>
    <row r="269">
      <c r="A269" s="17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18" t="n"/>
      <c r="N269" s="9" t="n"/>
    </row>
    <row r="270">
      <c r="A270" s="17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18" t="n"/>
      <c r="N270" s="9" t="n"/>
    </row>
    <row r="271">
      <c r="A271" s="17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18" t="n"/>
      <c r="N271" s="9" t="n"/>
    </row>
    <row r="272">
      <c r="A272" s="17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18" t="n"/>
      <c r="N272" s="9" t="n"/>
    </row>
    <row r="273">
      <c r="A273" s="17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18" t="n"/>
      <c r="N273" s="9" t="n"/>
    </row>
    <row r="274">
      <c r="A274" s="17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18" t="n"/>
      <c r="N274" s="9" t="n"/>
    </row>
    <row r="275">
      <c r="A275" s="17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18" t="n"/>
      <c r="N275" s="9" t="n"/>
    </row>
    <row r="276">
      <c r="A276" s="17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18" t="n"/>
      <c r="N276" s="9" t="n"/>
    </row>
    <row r="277">
      <c r="A277" s="17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18" t="n"/>
      <c r="N277" s="9" t="n"/>
    </row>
    <row r="278">
      <c r="A278" s="17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18" t="n"/>
      <c r="N278" s="9" t="n"/>
    </row>
    <row r="279">
      <c r="A279" s="17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18" t="n"/>
      <c r="N279" s="9" t="n"/>
    </row>
    <row r="280">
      <c r="A280" s="17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18" t="n"/>
      <c r="N280" s="9" t="n"/>
    </row>
    <row r="281">
      <c r="A281" s="17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18" t="n"/>
      <c r="N281" s="9" t="n"/>
    </row>
    <row r="282">
      <c r="A282" s="17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18" t="n"/>
      <c r="N282" s="9" t="n"/>
    </row>
    <row r="283">
      <c r="A283" s="17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18" t="n"/>
      <c r="N283" s="9" t="n"/>
    </row>
    <row r="284">
      <c r="A284" s="17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18" t="n"/>
      <c r="N284" s="9" t="n"/>
    </row>
    <row r="285">
      <c r="A285" s="17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18" t="n"/>
      <c r="N285" s="9" t="n"/>
    </row>
    <row r="286">
      <c r="A286" s="17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18" t="n"/>
      <c r="N286" s="9" t="n"/>
    </row>
    <row r="287">
      <c r="A287" s="17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18" t="n"/>
      <c r="N287" s="9" t="n"/>
    </row>
    <row r="288">
      <c r="A288" s="17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18" t="n"/>
      <c r="N288" s="9" t="n"/>
    </row>
    <row r="289">
      <c r="A289" s="17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18" t="n"/>
      <c r="N289" s="9" t="n"/>
    </row>
    <row r="290">
      <c r="A290" s="17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18" t="n"/>
      <c r="N290" s="9" t="n"/>
    </row>
    <row r="291">
      <c r="A291" s="17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18" t="n"/>
      <c r="N291" s="9" t="n"/>
    </row>
    <row r="292">
      <c r="A292" s="17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18" t="n"/>
      <c r="N292" s="9" t="n"/>
    </row>
    <row r="293">
      <c r="A293" s="17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18" t="n"/>
      <c r="N293" s="9" t="n"/>
    </row>
    <row r="294">
      <c r="A294" s="17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18" t="n"/>
      <c r="N294" s="9" t="n"/>
    </row>
    <row r="295">
      <c r="A295" s="17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18" t="n"/>
      <c r="N295" s="9" t="n"/>
    </row>
    <row r="296">
      <c r="A296" s="17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18" t="n"/>
      <c r="N296" s="9" t="n"/>
    </row>
    <row r="297">
      <c r="A297" s="17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18" t="n"/>
      <c r="N297" s="9" t="n"/>
    </row>
    <row r="298">
      <c r="A298" s="17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18" t="n"/>
      <c r="N298" s="9" t="n"/>
    </row>
    <row r="299">
      <c r="A299" s="17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18" t="n"/>
      <c r="N299" s="9" t="n"/>
    </row>
    <row r="300">
      <c r="A300" s="17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18" t="n"/>
      <c r="N300" s="9" t="n"/>
    </row>
    <row r="301">
      <c r="A301" s="17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18" t="n"/>
      <c r="N301" s="9" t="n"/>
    </row>
    <row r="302">
      <c r="A302" s="17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18" t="n"/>
      <c r="N302" s="9" t="n"/>
    </row>
    <row r="303">
      <c r="A303" s="17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18" t="n"/>
      <c r="N303" s="9" t="n"/>
    </row>
    <row r="304">
      <c r="A304" s="17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18" t="n"/>
      <c r="N304" s="9" t="n"/>
    </row>
    <row r="305">
      <c r="A305" s="17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18" t="n"/>
      <c r="N305" s="9" t="n"/>
    </row>
    <row r="306">
      <c r="A306" s="17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18" t="n"/>
      <c r="N306" s="9" t="n"/>
    </row>
    <row r="307">
      <c r="A307" s="17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18" t="n"/>
      <c r="N307" s="9" t="n"/>
    </row>
    <row r="308">
      <c r="A308" s="17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18" t="n"/>
      <c r="N308" s="9" t="n"/>
    </row>
    <row r="309">
      <c r="A309" s="17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18" t="n"/>
      <c r="N309" s="9" t="n"/>
    </row>
    <row r="310">
      <c r="A310" s="17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18" t="n"/>
      <c r="N310" s="9" t="n"/>
    </row>
    <row r="311">
      <c r="A311" s="17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18" t="n"/>
      <c r="N311" s="9" t="n"/>
    </row>
    <row r="312">
      <c r="A312" s="17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18" t="n"/>
      <c r="N312" s="9" t="n"/>
    </row>
    <row r="313">
      <c r="A313" s="17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18" t="n"/>
      <c r="N313" s="9" t="n"/>
    </row>
    <row r="314">
      <c r="A314" s="17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18" t="n"/>
      <c r="N314" s="9" t="n"/>
    </row>
    <row r="315">
      <c r="A315" s="17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18" t="n"/>
      <c r="N315" s="9" t="n"/>
    </row>
    <row r="316">
      <c r="A316" s="17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18" t="n"/>
      <c r="N316" s="9" t="n"/>
    </row>
    <row r="317">
      <c r="A317" s="17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18" t="n"/>
      <c r="N317" s="9" t="n"/>
    </row>
    <row r="318">
      <c r="A318" s="17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18" t="n"/>
      <c r="N318" s="9" t="n"/>
    </row>
    <row r="319">
      <c r="A319" s="17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18" t="n"/>
      <c r="N319" s="9" t="n"/>
    </row>
    <row r="320">
      <c r="A320" s="17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18" t="n"/>
      <c r="N320" s="9" t="n"/>
    </row>
    <row r="321">
      <c r="A321" s="17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18" t="n"/>
      <c r="N321" s="9" t="n"/>
    </row>
    <row r="322">
      <c r="A322" s="17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18" t="n"/>
      <c r="N322" s="9" t="n"/>
    </row>
    <row r="323">
      <c r="A323" s="17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18" t="n"/>
      <c r="N323" s="9" t="n"/>
    </row>
    <row r="324">
      <c r="A324" s="17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18" t="n"/>
      <c r="N324" s="9" t="n"/>
    </row>
    <row r="325">
      <c r="A325" s="17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18" t="n"/>
      <c r="N325" s="9" t="n"/>
    </row>
    <row r="326">
      <c r="A326" s="17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18" t="n"/>
      <c r="N326" s="9" t="n"/>
    </row>
    <row r="327">
      <c r="A327" s="17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18" t="n"/>
      <c r="N327" s="9" t="n"/>
    </row>
    <row r="328">
      <c r="A328" s="17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18" t="n"/>
      <c r="N328" s="9" t="n"/>
    </row>
    <row r="329">
      <c r="A329" s="17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18" t="n"/>
      <c r="N329" s="9" t="n"/>
    </row>
    <row r="330">
      <c r="A330" s="17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18" t="n"/>
      <c r="N330" s="9" t="n"/>
    </row>
    <row r="331">
      <c r="A331" s="17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18" t="n"/>
      <c r="N331" s="9" t="n"/>
    </row>
    <row r="332">
      <c r="A332" s="17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18" t="n"/>
      <c r="N332" s="9" t="n"/>
    </row>
    <row r="333">
      <c r="A333" s="17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18" t="n"/>
      <c r="N333" s="9" t="n"/>
    </row>
    <row r="334">
      <c r="A334" s="17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18" t="n"/>
      <c r="N334" s="9" t="n"/>
    </row>
    <row r="335">
      <c r="A335" s="17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18" t="n"/>
      <c r="N335" s="9" t="n"/>
    </row>
    <row r="336">
      <c r="A336" s="17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18" t="n"/>
      <c r="N336" s="9" t="n"/>
    </row>
    <row r="337">
      <c r="A337" s="17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18" t="n"/>
      <c r="N337" s="9" t="n"/>
    </row>
    <row r="338">
      <c r="A338" s="17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18" t="n"/>
      <c r="N338" s="9" t="n"/>
    </row>
    <row r="339">
      <c r="A339" s="17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18" t="n"/>
      <c r="N339" s="9" t="n"/>
    </row>
    <row r="340">
      <c r="A340" s="17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18" t="n"/>
      <c r="N340" s="9" t="n"/>
    </row>
    <row r="341">
      <c r="A341" s="17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18" t="n"/>
      <c r="N341" s="9" t="n"/>
    </row>
    <row r="342">
      <c r="A342" s="17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18" t="n"/>
      <c r="N342" s="9" t="n"/>
    </row>
    <row r="343">
      <c r="A343" s="17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18" t="n"/>
      <c r="N343" s="9" t="n"/>
    </row>
    <row r="344">
      <c r="A344" s="17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18" t="n"/>
      <c r="N344" s="9" t="n"/>
    </row>
    <row r="345">
      <c r="A345" s="17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18" t="n"/>
      <c r="N345" s="9" t="n"/>
    </row>
    <row r="346">
      <c r="A346" s="17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18" t="n"/>
      <c r="N346" s="9" t="n"/>
    </row>
    <row r="347">
      <c r="A347" s="17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18" t="n"/>
      <c r="N347" s="9" t="n"/>
    </row>
    <row r="348">
      <c r="A348" s="17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18" t="n"/>
      <c r="N348" s="9" t="n"/>
    </row>
    <row r="349">
      <c r="A349" s="17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18" t="n"/>
      <c r="N349" s="9" t="n"/>
    </row>
    <row r="350">
      <c r="A350" s="17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18" t="n"/>
      <c r="N350" s="9" t="n"/>
    </row>
    <row r="351">
      <c r="A351" s="17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18" t="n"/>
      <c r="N351" s="9" t="n"/>
    </row>
    <row r="352">
      <c r="A352" s="17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18" t="n"/>
      <c r="N352" s="9" t="n"/>
    </row>
    <row r="353">
      <c r="A353" s="17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18" t="n"/>
      <c r="N353" s="9" t="n"/>
    </row>
    <row r="354">
      <c r="A354" s="17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18" t="n"/>
      <c r="N354" s="9" t="n"/>
    </row>
    <row r="355">
      <c r="A355" s="17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18" t="n"/>
      <c r="N355" s="9" t="n"/>
    </row>
    <row r="356">
      <c r="A356" s="17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18" t="n"/>
      <c r="N356" s="9" t="n"/>
    </row>
    <row r="357">
      <c r="A357" s="17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18" t="n"/>
      <c r="N357" s="9" t="n"/>
    </row>
    <row r="358">
      <c r="A358" s="17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18" t="n"/>
      <c r="N358" s="9" t="n"/>
    </row>
    <row r="359">
      <c r="A359" s="17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18" t="n"/>
      <c r="N359" s="9" t="n"/>
    </row>
    <row r="360">
      <c r="A360" s="17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18" t="n"/>
      <c r="N360" s="9" t="n"/>
    </row>
    <row r="361">
      <c r="A361" s="17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18" t="n"/>
      <c r="N361" s="9" t="n"/>
    </row>
    <row r="362">
      <c r="A362" s="17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18" t="n"/>
      <c r="N362" s="9" t="n"/>
    </row>
    <row r="363">
      <c r="A363" s="17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18" t="n"/>
      <c r="N363" s="9" t="n"/>
    </row>
    <row r="364">
      <c r="A364" s="17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18" t="n"/>
      <c r="N364" s="9" t="n"/>
    </row>
    <row r="365">
      <c r="A365" s="17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18" t="n"/>
      <c r="N365" s="9" t="n"/>
    </row>
    <row r="366">
      <c r="A366" s="17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18" t="n"/>
      <c r="N366" s="9" t="n"/>
    </row>
    <row r="367">
      <c r="A367" s="17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18" t="n"/>
      <c r="N367" s="9" t="n"/>
    </row>
    <row r="368">
      <c r="A368" s="17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18" t="n"/>
      <c r="N368" s="9" t="n"/>
    </row>
    <row r="369">
      <c r="A369" s="17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18" t="n"/>
      <c r="N369" s="9" t="n"/>
    </row>
    <row r="370">
      <c r="A370" s="17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18" t="n"/>
      <c r="N370" s="9" t="n"/>
    </row>
    <row r="371">
      <c r="A371" s="17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18" t="n"/>
      <c r="N371" s="9" t="n"/>
    </row>
    <row r="372">
      <c r="A372" s="17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18" t="n"/>
      <c r="N372" s="9" t="n"/>
    </row>
    <row r="373">
      <c r="A373" s="17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18" t="n"/>
      <c r="N373" s="9" t="n"/>
    </row>
    <row r="374">
      <c r="A374" s="17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18" t="n"/>
      <c r="N374" s="9" t="n"/>
    </row>
    <row r="375">
      <c r="A375" s="17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18" t="n"/>
      <c r="N375" s="9" t="n"/>
    </row>
    <row r="376">
      <c r="A376" s="17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18" t="n"/>
      <c r="N376" s="9" t="n"/>
    </row>
    <row r="377">
      <c r="A377" s="17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18" t="n"/>
      <c r="N377" s="9" t="n"/>
    </row>
    <row r="378">
      <c r="A378" s="17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18" t="n"/>
      <c r="N378" s="9" t="n"/>
    </row>
    <row r="379">
      <c r="A379" s="17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18" t="n"/>
      <c r="N379" s="9" t="n"/>
    </row>
    <row r="380">
      <c r="A380" s="17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18" t="n"/>
      <c r="N380" s="9" t="n"/>
    </row>
    <row r="381">
      <c r="A381" s="17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18" t="n"/>
      <c r="N381" s="9" t="n"/>
    </row>
    <row r="382">
      <c r="A382" s="17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18" t="n"/>
      <c r="N382" s="9" t="n"/>
    </row>
    <row r="383">
      <c r="A383" s="17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18" t="n"/>
      <c r="N383" s="9" t="n"/>
    </row>
    <row r="384">
      <c r="A384" s="17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18" t="n"/>
      <c r="N384" s="9" t="n"/>
    </row>
    <row r="385">
      <c r="A385" s="17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18" t="n"/>
      <c r="N385" s="9" t="n"/>
    </row>
    <row r="386">
      <c r="A386" s="17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18" t="n"/>
      <c r="N386" s="9" t="n"/>
    </row>
    <row r="387">
      <c r="A387" s="17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18" t="n"/>
      <c r="N387" s="9" t="n"/>
    </row>
    <row r="388">
      <c r="A388" s="17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18" t="n"/>
      <c r="N388" s="9" t="n"/>
    </row>
    <row r="389">
      <c r="A389" s="17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18" t="n"/>
      <c r="N389" s="9" t="n"/>
    </row>
    <row r="390">
      <c r="A390" s="17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18" t="n"/>
      <c r="N390" s="9" t="n"/>
    </row>
    <row r="391">
      <c r="A391" s="17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18" t="n"/>
      <c r="N391" s="9" t="n"/>
    </row>
    <row r="392">
      <c r="A392" s="17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18" t="n"/>
      <c r="N392" s="9" t="n"/>
    </row>
    <row r="393">
      <c r="A393" s="17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18" t="n"/>
      <c r="N393" s="9" t="n"/>
    </row>
    <row r="394">
      <c r="A394" s="17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18" t="n"/>
      <c r="N394" s="9" t="n"/>
    </row>
    <row r="395">
      <c r="A395" s="17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18" t="n"/>
      <c r="N395" s="9" t="n"/>
    </row>
    <row r="396">
      <c r="A396" s="17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18" t="n"/>
      <c r="N396" s="9" t="n"/>
    </row>
    <row r="397">
      <c r="A397" s="17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18" t="n"/>
      <c r="N397" s="9" t="n"/>
    </row>
    <row r="398">
      <c r="A398" s="17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18" t="n"/>
      <c r="N398" s="9" t="n"/>
    </row>
    <row r="399">
      <c r="A399" s="17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18" t="n"/>
      <c r="N399" s="9" t="n"/>
    </row>
    <row r="400">
      <c r="A400" s="17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18" t="n"/>
      <c r="N400" s="9" t="n"/>
    </row>
    <row r="401">
      <c r="A401" s="17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18" t="n"/>
      <c r="N401" s="9" t="n"/>
    </row>
    <row r="402">
      <c r="A402" s="17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18" t="n"/>
      <c r="N402" s="9" t="n"/>
    </row>
    <row r="403">
      <c r="A403" s="17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18" t="n"/>
      <c r="N403" s="9" t="n"/>
    </row>
    <row r="404">
      <c r="A404" s="17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18" t="n"/>
      <c r="N404" s="9" t="n"/>
    </row>
    <row r="405">
      <c r="A405" s="17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18" t="n"/>
      <c r="N405" s="9" t="n"/>
    </row>
    <row r="406">
      <c r="A406" s="17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18" t="n"/>
      <c r="N406" s="9" t="n"/>
    </row>
    <row r="407">
      <c r="A407" s="17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18" t="n"/>
      <c r="N407" s="9" t="n"/>
    </row>
    <row r="408">
      <c r="A408" s="17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18" t="n"/>
      <c r="N408" s="9" t="n"/>
    </row>
    <row r="409">
      <c r="A409" s="17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18" t="n"/>
      <c r="N409" s="9" t="n"/>
    </row>
    <row r="410">
      <c r="A410" s="17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18" t="n"/>
      <c r="N410" s="9" t="n"/>
    </row>
    <row r="411">
      <c r="A411" s="17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18" t="n"/>
      <c r="N411" s="9" t="n"/>
    </row>
    <row r="412">
      <c r="A412" s="17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18" t="n"/>
      <c r="N412" s="9" t="n"/>
    </row>
    <row r="413">
      <c r="A413" s="17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18" t="n"/>
      <c r="N413" s="9" t="n"/>
    </row>
    <row r="414">
      <c r="A414" s="17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18" t="n"/>
      <c r="N414" s="9" t="n"/>
    </row>
    <row r="415">
      <c r="A415" s="17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18" t="n"/>
      <c r="N415" s="9" t="n"/>
    </row>
    <row r="416">
      <c r="A416" s="17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18" t="n"/>
      <c r="N416" s="9" t="n"/>
    </row>
    <row r="417">
      <c r="A417" s="17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18" t="n"/>
      <c r="N417" s="9" t="n"/>
    </row>
    <row r="418">
      <c r="A418" s="17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18" t="n"/>
      <c r="N418" s="9" t="n"/>
    </row>
    <row r="419">
      <c r="A419" s="17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18" t="n"/>
      <c r="N419" s="9" t="n"/>
    </row>
    <row r="420">
      <c r="A420" s="17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18" t="n"/>
      <c r="N420" s="9" t="n"/>
    </row>
    <row r="421">
      <c r="A421" s="17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18" t="n"/>
      <c r="N421" s="9" t="n"/>
    </row>
    <row r="422">
      <c r="A422" s="17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18" t="n"/>
      <c r="N422" s="9" t="n"/>
    </row>
    <row r="423">
      <c r="A423" s="17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18" t="n"/>
      <c r="N423" s="9" t="n"/>
    </row>
    <row r="424">
      <c r="A424" s="17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18" t="n"/>
      <c r="N424" s="9" t="n"/>
    </row>
    <row r="425">
      <c r="A425" s="17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18" t="n"/>
      <c r="N425" s="9" t="n"/>
    </row>
    <row r="426">
      <c r="A426" s="17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18" t="n"/>
      <c r="N426" s="9" t="n"/>
    </row>
    <row r="427">
      <c r="A427" s="17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18" t="n"/>
      <c r="N427" s="9" t="n"/>
    </row>
    <row r="428">
      <c r="A428" s="17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18" t="n"/>
      <c r="N428" s="9" t="n"/>
    </row>
    <row r="429">
      <c r="A429" s="17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18" t="n"/>
      <c r="N429" s="9" t="n"/>
    </row>
    <row r="430">
      <c r="A430" s="17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18" t="n"/>
      <c r="N430" s="9" t="n"/>
    </row>
    <row r="431">
      <c r="A431" s="17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18" t="n"/>
      <c r="N431" s="9" t="n"/>
    </row>
    <row r="432">
      <c r="A432" s="17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18" t="n"/>
      <c r="N432" s="9" t="n"/>
    </row>
    <row r="433">
      <c r="A433" s="17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18" t="n"/>
      <c r="N433" s="9" t="n"/>
    </row>
    <row r="434">
      <c r="A434" s="17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18" t="n"/>
      <c r="N434" s="9" t="n"/>
    </row>
    <row r="435">
      <c r="A435" s="17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18" t="n"/>
      <c r="N435" s="9" t="n"/>
    </row>
    <row r="436">
      <c r="A436" s="17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18" t="n"/>
      <c r="N436" s="9" t="n"/>
    </row>
    <row r="437">
      <c r="A437" s="17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18" t="n"/>
      <c r="N437" s="9" t="n"/>
    </row>
    <row r="438">
      <c r="A438" s="17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18" t="n"/>
      <c r="N438" s="9" t="n"/>
    </row>
    <row r="439">
      <c r="A439" s="17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18" t="n"/>
      <c r="N439" s="9" t="n"/>
    </row>
    <row r="440">
      <c r="A440" s="17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18" t="n"/>
      <c r="N440" s="9" t="n"/>
    </row>
    <row r="441">
      <c r="A441" s="17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18" t="n"/>
      <c r="N441" s="9" t="n"/>
    </row>
    <row r="442">
      <c r="A442" s="17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18" t="n"/>
      <c r="N442" s="9" t="n"/>
    </row>
    <row r="443">
      <c r="A443" s="17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18" t="n"/>
      <c r="N443" s="9" t="n"/>
    </row>
    <row r="444">
      <c r="A444" s="17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18" t="n"/>
      <c r="N444" s="9" t="n"/>
    </row>
    <row r="445">
      <c r="A445" s="17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18" t="n"/>
      <c r="N445" s="9" t="n"/>
    </row>
    <row r="446">
      <c r="A446" s="17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18" t="n"/>
      <c r="N446" s="9" t="n"/>
    </row>
    <row r="447">
      <c r="A447" s="17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18" t="n"/>
      <c r="N447" s="9" t="n"/>
    </row>
    <row r="448">
      <c r="A448" s="17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18" t="n"/>
      <c r="N448" s="9" t="n"/>
    </row>
    <row r="449">
      <c r="A449" s="17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18" t="n"/>
      <c r="N449" s="9" t="n"/>
    </row>
    <row r="450">
      <c r="A450" s="17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18" t="n"/>
      <c r="N450" s="9" t="n"/>
    </row>
    <row r="451">
      <c r="A451" s="17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18" t="n"/>
      <c r="N451" s="9" t="n"/>
    </row>
    <row r="452">
      <c r="A452" s="17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18" t="n"/>
      <c r="N452" s="9" t="n"/>
    </row>
    <row r="453">
      <c r="A453" s="17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18" t="n"/>
      <c r="N453" s="9" t="n"/>
    </row>
    <row r="454">
      <c r="A454" s="17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18" t="n"/>
      <c r="N454" s="9" t="n"/>
    </row>
    <row r="455">
      <c r="A455" s="17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18" t="n"/>
      <c r="N455" s="9" t="n"/>
    </row>
    <row r="456">
      <c r="A456" s="17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18" t="n"/>
      <c r="N456" s="9" t="n"/>
    </row>
    <row r="457">
      <c r="A457" s="17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18" t="n"/>
      <c r="N457" s="9" t="n"/>
    </row>
    <row r="458">
      <c r="A458" s="17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18" t="n"/>
      <c r="N458" s="9" t="n"/>
    </row>
    <row r="459">
      <c r="A459" s="17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18" t="n"/>
      <c r="N459" s="9" t="n"/>
    </row>
    <row r="460">
      <c r="A460" s="17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18" t="n"/>
      <c r="N460" s="9" t="n"/>
    </row>
    <row r="461">
      <c r="A461" s="17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18" t="n"/>
      <c r="N461" s="9" t="n"/>
    </row>
    <row r="462">
      <c r="A462" s="17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18" t="n"/>
      <c r="N462" s="9" t="n"/>
    </row>
    <row r="463">
      <c r="A463" s="17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18" t="n"/>
      <c r="N463" s="9" t="n"/>
    </row>
    <row r="464">
      <c r="A464" s="17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18" t="n"/>
      <c r="N464" s="9" t="n"/>
    </row>
    <row r="465">
      <c r="A465" s="17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18" t="n"/>
      <c r="N465" s="9" t="n"/>
    </row>
    <row r="466">
      <c r="A466" s="17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18" t="n"/>
      <c r="N466" s="9" t="n"/>
    </row>
    <row r="467">
      <c r="A467" s="17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18" t="n"/>
      <c r="N467" s="9" t="n"/>
    </row>
    <row r="468">
      <c r="A468" s="17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18" t="n"/>
      <c r="N468" s="9" t="n"/>
    </row>
    <row r="469">
      <c r="A469" s="17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18" t="n"/>
      <c r="N469" s="9" t="n"/>
    </row>
    <row r="470">
      <c r="A470" s="17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18" t="n"/>
      <c r="N470" s="9" t="n"/>
    </row>
    <row r="471">
      <c r="A471" s="17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18" t="n"/>
      <c r="N471" s="9" t="n"/>
    </row>
    <row r="472">
      <c r="A472" s="17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18" t="n"/>
      <c r="N472" s="9" t="n"/>
    </row>
    <row r="473">
      <c r="A473" s="17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18" t="n"/>
      <c r="N473" s="9" t="n"/>
    </row>
    <row r="474">
      <c r="A474" s="17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18" t="n"/>
      <c r="N474" s="9" t="n"/>
    </row>
    <row r="475">
      <c r="A475" s="17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18" t="n"/>
      <c r="N475" s="9" t="n"/>
    </row>
    <row r="476">
      <c r="A476" s="17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18" t="n"/>
      <c r="N476" s="9" t="n"/>
    </row>
    <row r="477">
      <c r="A477" s="17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18" t="n"/>
      <c r="N477" s="9" t="n"/>
    </row>
    <row r="478">
      <c r="A478" s="17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18" t="n"/>
      <c r="N478" s="9" t="n"/>
    </row>
    <row r="479">
      <c r="A479" s="17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18" t="n"/>
      <c r="N479" s="9" t="n"/>
    </row>
    <row r="480">
      <c r="A480" s="17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18" t="n"/>
      <c r="N480" s="9" t="n"/>
    </row>
    <row r="481">
      <c r="A481" s="17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18" t="n"/>
      <c r="N481" s="9" t="n"/>
    </row>
    <row r="482">
      <c r="A482" s="17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18" t="n"/>
      <c r="N482" s="9" t="n"/>
    </row>
    <row r="483">
      <c r="A483" s="17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18" t="n"/>
      <c r="N483" s="9" t="n"/>
    </row>
    <row r="484">
      <c r="A484" s="17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18" t="n"/>
      <c r="N484" s="9" t="n"/>
    </row>
    <row r="485">
      <c r="A485" s="17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18" t="n"/>
      <c r="N485" s="9" t="n"/>
    </row>
    <row r="486">
      <c r="A486" s="17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18" t="n"/>
      <c r="N486" s="9" t="n"/>
    </row>
    <row r="487">
      <c r="A487" s="17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18" t="n"/>
      <c r="N487" s="9" t="n"/>
    </row>
    <row r="488">
      <c r="A488" s="17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18" t="n"/>
      <c r="N488" s="9" t="n"/>
    </row>
    <row r="489">
      <c r="A489" s="17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18" t="n"/>
      <c r="N489" s="9" t="n"/>
    </row>
    <row r="490">
      <c r="A490" s="17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18" t="n"/>
      <c r="N490" s="9" t="n"/>
    </row>
    <row r="491">
      <c r="A491" s="17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18" t="n"/>
      <c r="N491" s="9" t="n"/>
    </row>
    <row r="492">
      <c r="A492" s="17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18" t="n"/>
      <c r="N492" s="9" t="n"/>
    </row>
    <row r="493">
      <c r="A493" s="17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18" t="n"/>
      <c r="N493" s="9" t="n"/>
    </row>
    <row r="494">
      <c r="A494" s="17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18" t="n"/>
      <c r="N494" s="9" t="n"/>
    </row>
    <row r="495">
      <c r="A495" s="17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18" t="n"/>
      <c r="N495" s="9" t="n"/>
    </row>
    <row r="496">
      <c r="A496" s="17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18" t="n"/>
      <c r="N496" s="9" t="n"/>
    </row>
    <row r="497">
      <c r="A497" s="17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18" t="n"/>
      <c r="N497" s="9" t="n"/>
    </row>
    <row r="498">
      <c r="A498" s="17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18" t="n"/>
      <c r="N498" s="9" t="n"/>
    </row>
    <row r="499">
      <c r="A499" s="17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18" t="n"/>
      <c r="N499" s="9" t="n"/>
    </row>
    <row r="500">
      <c r="A500" s="17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18" t="n"/>
      <c r="N500" s="9" t="n"/>
    </row>
    <row r="501">
      <c r="A501" s="17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18" t="n"/>
      <c r="N501" s="9" t="n"/>
    </row>
    <row r="502">
      <c r="A502" s="17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18" t="n"/>
      <c r="N502" s="9" t="n"/>
    </row>
    <row r="503">
      <c r="A503" s="17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18" t="n"/>
      <c r="N503" s="9" t="n"/>
    </row>
    <row r="504">
      <c r="A504" s="17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18" t="n"/>
      <c r="N504" s="9" t="n"/>
    </row>
  </sheetData>
  <dataValidations count="10">
    <dataValidation sqref="C5:C504" showDropDown="0" showInputMessage="0" showErrorMessage="0" allowBlank="1" type="list">
      <formula1>'下拉选项'!$A$5:$A$13</formula1>
    </dataValidation>
    <dataValidation sqref="D5:D504" showDropDown="0" showInputMessage="0" showErrorMessage="0" allowBlank="1" type="list">
      <formula1>'下拉选项'!$B$5:$B$14</formula1>
    </dataValidation>
    <dataValidation sqref="E5:E504" showDropDown="0" showInputMessage="0" showErrorMessage="0" allowBlank="1" type="list">
      <formula1>'下拉选项'!$C$5:$C$6</formula1>
    </dataValidation>
    <dataValidation sqref="F5:F504" showDropDown="0" showInputMessage="0" showErrorMessage="0" allowBlank="1" type="list">
      <formula1>'下拉选项'!$D$5:$D$9</formula1>
    </dataValidation>
    <dataValidation sqref="G5:G504" showDropDown="0" showInputMessage="0" showErrorMessage="0" allowBlank="1" type="list">
      <formula1>'下拉选项'!$E$5:$E$9</formula1>
    </dataValidation>
    <dataValidation sqref="H5:H504" showDropDown="0" showInputMessage="0" showErrorMessage="0" allowBlank="1" type="list">
      <formula1>'下拉选项'!$C$5:$C$6</formula1>
    </dataValidation>
    <dataValidation sqref="I5:I504" showDropDown="0" showInputMessage="0" showErrorMessage="0" allowBlank="1" type="list">
      <formula1>'下拉选项'!$C$5:$C$6</formula1>
    </dataValidation>
    <dataValidation sqref="J5:J504" showDropDown="0" showInputMessage="0" showErrorMessage="0" allowBlank="1" type="list">
      <formula1>'下拉选项'!$H$5:$H$10</formula1>
    </dataValidation>
    <dataValidation sqref="K5:K504" showDropDown="0" showInputMessage="0" showErrorMessage="0" allowBlank="1" type="list">
      <formula1>'下拉选项'!$F$5:$F$12</formula1>
    </dataValidation>
    <dataValidation sqref="L5:L504" showDropDown="0" showInputMessage="0" showErrorMessage="0" allowBlank="1" type="list">
      <formula1>'下拉选项'!$G$5:$G$12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2" customWidth="1" min="3" max="3"/>
  </cols>
  <sheetData>
    <row r="1">
      <c r="A1" s="1" t="inlineStr">
        <is>
          <t>月度看板</t>
        </is>
      </c>
    </row>
    <row r="2">
      <c r="A2" s="7" t="inlineStr">
        <is>
          <t>在 B4 填月份（格式 2026-09），下面全部自动算。打印 A4 就是月会材料。</t>
        </is>
      </c>
    </row>
    <row r="4">
      <c r="A4" s="4" t="inlineStr">
        <is>
          <t>统计月份</t>
        </is>
      </c>
      <c r="B4" s="25" t="inlineStr">
        <is>
          <t>2026-09</t>
        </is>
      </c>
    </row>
    <row r="6">
      <c r="A6" s="2" t="inlineStr">
        <is>
          <t>① 询盘量</t>
        </is>
      </c>
      <c r="B6" s="3" t="n"/>
      <c r="C6" s="3" t="n"/>
    </row>
    <row r="7">
      <c r="A7" s="9" t="inlineStr">
        <is>
          <t>PM 总数</t>
        </is>
      </c>
      <c r="B7" s="20">
        <f>SUMPRODUCT(--(TEXT(询盘明细!$A$5:$A$504,"yyyy-mm")=$B$4),--(询盘明细!$B$5:$B$504&lt;&gt;""))</f>
        <v/>
      </c>
      <c r="C7" s="21" t="inlineStr">
        <is>
          <t>每月约 100（诊断书基线）</t>
        </is>
      </c>
    </row>
    <row r="8">
      <c r="A8" s="2" t="inlineStr">
        <is>
          <t>② 流程执行（这是改进的验证指标）</t>
        </is>
      </c>
      <c r="B8" s="3" t="n"/>
      <c r="C8" s="3" t="n"/>
    </row>
    <row r="9">
      <c r="A9" s="9" t="inlineStr">
        <is>
          <t>发出起步价区间的比例</t>
        </is>
      </c>
      <c r="B9" s="22">
        <f>IFERROR(SUMPRODUCT(--(TEXT(询盘明细!$A$5:$A$504,"yyyy-mm")=$B$4),--(询盘明细!$E$5:$E$504="是"))/SUMPRODUCT(--(TEXT(询盘明细!$A$5:$A$504,"yyyy-mm")=$B$4),--(询盘明细!$B$5:$B$504&lt;&gt;"")),"")</f>
        <v/>
      </c>
      <c r="C9" s="21" t="inlineStr">
        <is>
          <t>目标 100%</t>
        </is>
      </c>
    </row>
    <row r="10">
      <c r="A10" s="9" t="inlineStr">
        <is>
          <t>拿到预算区间的比例</t>
        </is>
      </c>
      <c r="B10" s="22">
        <f>IFERROR(SUMPRODUCT(--(TEXT(询盘明细!$A$5:$A$504,"yyyy-mm")=$B$4),--(询盘明细!$F$5:$F$504&lt;&gt;""),--(询盘明细!$F$5:$F$504&lt;&gt;"未透露"))/SUMPRODUCT(--(TEXT(询盘明细!$A$5:$A$504,"yyyy-mm")=$B$4),--(询盘明细!$B$5:$B$504&lt;&gt;"")),"")</f>
        <v/>
      </c>
      <c r="C10" s="21" t="inlineStr">
        <is>
          <t>目标 ≥80%</t>
        </is>
      </c>
    </row>
    <row r="11">
      <c r="A11" s="9" t="inlineStr">
        <is>
          <t>用了话术卡的比例</t>
        </is>
      </c>
      <c r="B11" s="22">
        <f>IFERROR(SUMPRODUCT(--(TEXT(询盘明细!$A$5:$A$504,"yyyy-mm")=$B$4),--(询盘明细!$J$5:$J$504&lt;&gt;""),--(询盘明细!$J$5:$J$504&lt;&gt;"无"))/SUMPRODUCT(--(TEXT(询盘明细!$A$5:$A$504,"yyyy-mm")=$B$4),--(询盘明细!$B$5:$B$504&lt;&gt;"")),"")</f>
        <v/>
      </c>
      <c r="C11" s="21" t="inlineStr">
        <is>
          <t>周会必看（工具 4-2）</t>
        </is>
      </c>
    </row>
    <row r="12">
      <c r="A12" s="2" t="inlineStr">
        <is>
          <t>③ 分流结果</t>
        </is>
      </c>
      <c r="B12" s="3" t="n"/>
      <c r="C12" s="3" t="n"/>
    </row>
    <row r="13">
      <c r="A13" s="9" t="inlineStr">
        <is>
          <t>A 全屋</t>
        </is>
      </c>
      <c r="B13" s="20">
        <f>SUMPRODUCT(--(TEXT(询盘明细!$A$5:$A$504,"yyyy-mm")=$B$4),--(询盘明细!$G$5:$G$504="A 全屋"))</f>
        <v/>
      </c>
      <c r="C13" s="21" t="inlineStr"/>
    </row>
    <row r="14">
      <c r="A14" s="9" t="inlineStr">
        <is>
          <t>A− 全屋(需调整)</t>
        </is>
      </c>
      <c r="B14" s="20">
        <f>SUMPRODUCT(--(TEXT(询盘明细!$A$5:$A$504,"yyyy-mm")=$B$4),--(询盘明细!$G$5:$G$504="A− 全屋(需调整)"))</f>
        <v/>
      </c>
      <c r="C14" s="21" t="inlineStr"/>
    </row>
    <row r="15">
      <c r="A15" s="9" t="inlineStr">
        <is>
          <t>B 局部</t>
        </is>
      </c>
      <c r="B15" s="20">
        <f>SUMPRODUCT(--(TEXT(询盘明细!$A$5:$A$504,"yyyy-mm")=$B$4),--(询盘明细!$G$5:$G$504="B 局部"))</f>
        <v/>
      </c>
      <c r="C15" s="21" t="inlineStr"/>
    </row>
    <row r="16">
      <c r="A16" s="9" t="inlineStr">
        <is>
          <t>C 培育</t>
        </is>
      </c>
      <c r="B16" s="20">
        <f>SUMPRODUCT(--(TEXT(询盘明细!$A$5:$A$504,"yyyy-mm")=$B$4),--(询盘明细!$G$5:$G$504="C 培育"))</f>
        <v/>
      </c>
      <c r="C16" s="21" t="inlineStr"/>
    </row>
    <row r="17">
      <c r="A17" s="9" t="inlineStr">
        <is>
          <t>B+C 中收到局部定制方案的比例</t>
        </is>
      </c>
      <c r="B17" s="22">
        <f>IFERROR(SUMPRODUCT(--(TEXT(询盘明细!$A$5:$A$504,"yyyy-mm")=$B$4),--((询盘明细!$G$5:$G$504="B 局部")+(询盘明细!$G$5:$G$504="C 培育")&gt;0),--(询盘明细!$J$5:$J$504="局部定制方案"))/SUMPRODUCT(--(TEXT(询盘明细!$A$5:$A$504,"yyyy-mm")=$B$4),--((询盘明细!$G$5:$G$504="B 局部")+(询盘明细!$G$5:$G$504="C 培育")&gt;0)),"")</f>
        <v/>
      </c>
      <c r="C17" s="21" t="inlineStr">
        <is>
          <t>目标 100%（第 3 章）</t>
        </is>
      </c>
    </row>
    <row r="18">
      <c r="A18" s="2" t="inlineStr">
        <is>
          <t>④ 展厅</t>
        </is>
      </c>
      <c r="B18" s="3" t="n"/>
      <c r="C18" s="3" t="n"/>
    </row>
    <row r="19">
      <c r="A19" s="9" t="inlineStr">
        <is>
          <t>约展厅数</t>
        </is>
      </c>
      <c r="B19" s="20">
        <f>SUMPRODUCT(--(TEXT(询盘明细!$A$5:$A$504,"yyyy-mm")=$B$4),--(询盘明细!$H$5:$H$504="是"))</f>
        <v/>
      </c>
      <c r="C19" s="21" t="inlineStr"/>
    </row>
    <row r="20">
      <c r="A20" s="9" t="inlineStr">
        <is>
          <t>到访展厅数</t>
        </is>
      </c>
      <c r="B20" s="20">
        <f>SUMPRODUCT(--(TEXT(询盘明细!$A$5:$A$504,"yyyy-mm")=$B$4),--(询盘明细!$I$5:$I$504="是"))</f>
        <v/>
      </c>
      <c r="C20" s="21" t="inlineStr"/>
    </row>
    <row r="21">
      <c r="A21" s="9" t="inlineStr">
        <is>
          <t>到访转化率（到访/PM）</t>
        </is>
      </c>
      <c r="B21" s="22">
        <f>IFERROR(SUMPRODUCT(--(TEXT(询盘明细!$A$5:$A$504,"yyyy-mm")=$B$4),--(询盘明细!$I$5:$I$504="是"))/SUMPRODUCT(--(TEXT(询盘明细!$A$5:$A$504,"yyyy-mm")=$B$4),--(询盘明细!$B$5:$B$504&lt;&gt;"")),"")</f>
        <v/>
      </c>
      <c r="C21" s="21" t="inlineStr"/>
    </row>
    <row r="22">
      <c r="A22" s="2" t="inlineStr">
        <is>
          <t>⑤ 流失（要压的那两个数）</t>
        </is>
      </c>
      <c r="B22" s="3" t="n"/>
      <c r="C22" s="3" t="n"/>
    </row>
    <row r="23">
      <c r="A23" s="9" t="inlineStr">
        <is>
          <t>流失总数</t>
        </is>
      </c>
      <c r="B23" s="20">
        <f>SUMPRODUCT(--(TEXT(询盘明细!$A$5:$A$504,"yyyy-mm")=$B$4),--(询盘明细!$K$5:$K$504="X 流失"))</f>
        <v/>
      </c>
      <c r="C23" s="21" t="inlineStr"/>
    </row>
    <row r="24">
      <c r="A24" s="9" t="inlineStr">
        <is>
          <t>其中：报价后无回复</t>
        </is>
      </c>
      <c r="B24" s="20">
        <f>SUMPRODUCT(--(TEXT(询盘明细!$A$5:$A$504,"yyyy-mm")=$B$4),--(询盘明细!$L$5:$L$504="报价后无回复"))</f>
        <v/>
      </c>
      <c r="C24" s="21" t="inlineStr">
        <is>
          <t>基线 70% → 目标 &lt;40%</t>
        </is>
      </c>
    </row>
    <row r="25">
      <c r="A25" s="9" t="inlineStr">
        <is>
          <t>其中：预算不足</t>
        </is>
      </c>
      <c r="B25" s="20">
        <f>SUMPRODUCT(--(TEXT(询盘明细!$A$5:$A$504,"yyyy-mm")=$B$4),--(询盘明细!$L$5:$L$504="预算不足"))</f>
        <v/>
      </c>
      <c r="C25" s="21" t="inlineStr"/>
    </row>
    <row r="26">
      <c r="A26" s="9" t="inlineStr">
        <is>
          <t>「到店才发现太贵」比例</t>
        </is>
      </c>
      <c r="B26" s="22">
        <f>IFERROR(SUMPRODUCT(--(TEXT(询盘明细!$A$5:$A$504,"yyyy-mm")=$B$4),--(询盘明细!$I$5:$I$504="是"),--(询盘明细!$L$5:$L$504="预算不足"))/SUMPRODUCT(--(TEXT(询盘明细!$A$5:$A$504,"yyyy-mm")=$B$4),--(询盘明细!$B$5:$B$504&lt;&gt;"")),"")</f>
        <v/>
      </c>
      <c r="C26" s="21" t="inlineStr">
        <is>
          <t>基线 20% → 目标 &lt;5%</t>
        </is>
      </c>
    </row>
    <row r="27">
      <c r="A27" s="2" t="inlineStr">
        <is>
          <t>⑥ 成交</t>
        </is>
      </c>
      <c r="B27" s="3" t="n"/>
      <c r="C27" s="3" t="n"/>
    </row>
    <row r="28">
      <c r="A28" s="9" t="inlineStr">
        <is>
          <t>成交数</t>
        </is>
      </c>
      <c r="B28" s="20">
        <f>SUMPRODUCT(--(TEXT(询盘明细!$A$5:$A$504,"yyyy-mm")=$B$4),--(询盘明细!$K$5:$K$504="7 已成交"))</f>
        <v/>
      </c>
      <c r="C28" s="21" t="inlineStr"/>
    </row>
    <row r="29">
      <c r="A29" s="9" t="inlineStr">
        <is>
          <t>成交总额 RM</t>
        </is>
      </c>
      <c r="B29" s="20">
        <f>SUMPRODUCT(--(TEXT(询盘明细!$A$5:$A$504,"yyyy-mm")=$B$4),--(询盘明细!$K$5:$K$504="7 已成交"),IFERROR(询盘明细!$M$5:$M$504,0))</f>
        <v/>
      </c>
      <c r="C29" s="21" t="inlineStr"/>
    </row>
    <row r="30">
      <c r="A30" s="9" t="inlineStr">
        <is>
          <t>PM→成交率</t>
        </is>
      </c>
      <c r="B30" s="22">
        <f>IFERROR(SUMPRODUCT(--(TEXT(询盘明细!$A$5:$A$504,"yyyy-mm")=$B$4),--(询盘明细!$K$5:$K$504="7 已成交"))/SUMPRODUCT(--(TEXT(询盘明细!$A$5:$A$504,"yyyy-mm")=$B$4),--(询盘明细!$B$5:$B$504&lt;&gt;"")),"")</f>
        <v/>
      </c>
      <c r="C30" s="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0" customWidth="1" min="4" max="4"/>
    <col width="15" customWidth="1" min="5" max="5"/>
    <col width="10" customWidth="1" min="6" max="6"/>
    <col width="14" customWidth="1" min="7" max="7"/>
    <col width="26" customWidth="1" min="8" max="8"/>
  </cols>
  <sheetData>
    <row r="1">
      <c r="A1" s="10" t="inlineStr">
        <is>
          <t>广告成效（按广告名）</t>
        </is>
      </c>
    </row>
    <row r="2">
      <c r="A2" s="7" t="inlineStr">
        <is>
          <t>每月把 Meta 后台的花费填进 C 列，其余自动算。判断加钱/关掉只看「每 PM 成本」和「成交额」两列。</t>
        </is>
      </c>
    </row>
    <row r="3"/>
    <row r="4">
      <c r="A4" s="4" t="inlineStr">
        <is>
          <t>统计月份（留空=全部）</t>
        </is>
      </c>
      <c r="B4" s="26" t="inlineStr"/>
    </row>
    <row r="5"/>
    <row r="6">
      <c r="A6" s="12" t="inlineStr">
        <is>
          <t>广告名</t>
        </is>
      </c>
      <c r="B6" s="12" t="inlineStr">
        <is>
          <t>内容类型</t>
        </is>
      </c>
      <c r="C6" s="12" t="inlineStr">
        <is>
          <t>本月花费 RM</t>
        </is>
      </c>
      <c r="D6" s="12" t="inlineStr">
        <is>
          <t>PM 数</t>
        </is>
      </c>
      <c r="E6" s="12" t="inlineStr">
        <is>
          <t>每 PM 成本 RM</t>
        </is>
      </c>
      <c r="F6" s="12" t="inlineStr">
        <is>
          <t>成交数</t>
        </is>
      </c>
      <c r="G6" s="12" t="inlineStr">
        <is>
          <t>成交额 RM</t>
        </is>
      </c>
      <c r="H6" s="12" t="inlineStr">
        <is>
          <t>判断</t>
        </is>
      </c>
    </row>
    <row r="7">
      <c r="A7" s="9" t="inlineStr">
        <is>
          <t>SKL Skeleton Line Design</t>
        </is>
      </c>
      <c r="B7" s="9" t="n"/>
      <c r="C7" s="24" t="n"/>
      <c r="D7" s="9">
        <f>SUMPRODUCT(--(($B$4="")+(TEXT(询盘明细!$A$5:$A$504,"yyyy-mm")=$B$4)&gt;0),--(询盘明细!$D$5:$D$504=$A7))</f>
        <v/>
      </c>
      <c r="E7" s="24">
        <f>IFERROR($C7/$D7,"")</f>
        <v/>
      </c>
      <c r="F7" s="9">
        <f>SUMPRODUCT(--(($B$4="")+(TEXT(询盘明细!$A$5:$A$504,"yyyy-mm")=$B$4)&gt;0),--(询盘明细!$D$5:$D$504=$A7),--(询盘明细!$K$5:$K$504="7 已成交"))</f>
        <v/>
      </c>
      <c r="G7" s="18">
        <f>SUMPRODUCT(--(($B$4="")+(TEXT(询盘明细!$A$5:$A$504,"yyyy-mm")=$B$4)&gt;0),--(询盘明细!$D$5:$D$504=$A7),--(询盘明细!$K$5:$K$504="7 已成交"),IFERROR(询盘明细!$M$5:$M$504,0))</f>
        <v/>
      </c>
      <c r="H7" s="9">
        <f>IF($D7=0,IF($C7&gt;0,"⚠ 零询盘 → 考虑关掉",""),IF($E7&lt;=50,"✅ 效率好 → 加钱",IF($E7&lt;=100,"观察","⚠ 效率差 → 减/换素材")))</f>
        <v/>
      </c>
    </row>
    <row r="8">
      <c r="A8" s="9" t="inlineStr">
        <is>
          <t>SKL1 Skeleton Line 视频</t>
        </is>
      </c>
      <c r="B8" s="9" t="n"/>
      <c r="C8" s="24" t="n"/>
      <c r="D8" s="9">
        <f>SUMPRODUCT(--(($B$4="")+(TEXT(询盘明细!$A$5:$A$504,"yyyy-mm")=$B$4)&gt;0),--(询盘明细!$D$5:$D$504=$A8))</f>
        <v/>
      </c>
      <c r="E8" s="24">
        <f>IFERROR($C8/$D8,"")</f>
        <v/>
      </c>
      <c r="F8" s="9">
        <f>SUMPRODUCT(--(($B$4="")+(TEXT(询盘明细!$A$5:$A$504,"yyyy-mm")=$B$4)&gt;0),--(询盘明细!$D$5:$D$504=$A8),--(询盘明细!$K$5:$K$504="7 已成交"))</f>
        <v/>
      </c>
      <c r="G8" s="18">
        <f>SUMPRODUCT(--(($B$4="")+(TEXT(询盘明细!$A$5:$A$504,"yyyy-mm")=$B$4)&gt;0),--(询盘明细!$D$5:$D$504=$A8),--(询盘明细!$K$5:$K$504="7 已成交"),IFERROR(询盘明细!$M$5:$M$504,0))</f>
        <v/>
      </c>
      <c r="H8" s="9">
        <f>IF($D8=0,IF($C8&gt;0,"⚠ 零询盘 → 考虑关掉",""),IF($E8&lt;=50,"✅ 效率好 → 加钱",IF($E8&lt;=100,"观察","⚠ 效率差 → 减/换素材")))</f>
        <v/>
      </c>
    </row>
    <row r="9">
      <c r="A9" s="9" t="inlineStr">
        <is>
          <t>BRK Book Rack</t>
        </is>
      </c>
      <c r="B9" s="9" t="n"/>
      <c r="C9" s="24" t="n"/>
      <c r="D9" s="9">
        <f>SUMPRODUCT(--(($B$4="")+(TEXT(询盘明细!$A$5:$A$504,"yyyy-mm")=$B$4)&gt;0),--(询盘明细!$D$5:$D$504=$A9))</f>
        <v/>
      </c>
      <c r="E9" s="24">
        <f>IFERROR($C9/$D9,"")</f>
        <v/>
      </c>
      <c r="F9" s="9">
        <f>SUMPRODUCT(--(($B$4="")+(TEXT(询盘明细!$A$5:$A$504,"yyyy-mm")=$B$4)&gt;0),--(询盘明细!$D$5:$D$504=$A9),--(询盘明细!$K$5:$K$504="7 已成交"))</f>
        <v/>
      </c>
      <c r="G9" s="18">
        <f>SUMPRODUCT(--(($B$4="")+(TEXT(询盘明细!$A$5:$A$504,"yyyy-mm")=$B$4)&gt;0),--(询盘明细!$D$5:$D$504=$A9),--(询盘明细!$K$5:$K$504="7 已成交"),IFERROR(询盘明细!$M$5:$M$504,0))</f>
        <v/>
      </c>
      <c r="H9" s="9">
        <f>IF($D9=0,IF($C9&gt;0,"⚠ 零询盘 → 考虑关掉",""),IF($E9&lt;=50,"✅ 效率好 → 加钱",IF($E9&lt;=100,"观察","⚠ 效率差 → 减/换素材")))</f>
        <v/>
      </c>
    </row>
    <row r="10">
      <c r="A10" s="9" t="inlineStr">
        <is>
          <t>KCS Kitchen Case Study</t>
        </is>
      </c>
      <c r="B10" s="9" t="n"/>
      <c r="C10" s="24" t="n"/>
      <c r="D10" s="9">
        <f>SUMPRODUCT(--(($B$4="")+(TEXT(询盘明细!$A$5:$A$504,"yyyy-mm")=$B$4)&gt;0),--(询盘明细!$D$5:$D$504=$A10))</f>
        <v/>
      </c>
      <c r="E10" s="24">
        <f>IFERROR($C10/$D10,"")</f>
        <v/>
      </c>
      <c r="F10" s="9">
        <f>SUMPRODUCT(--(($B$4="")+(TEXT(询盘明细!$A$5:$A$504,"yyyy-mm")=$B$4)&gt;0),--(询盘明细!$D$5:$D$504=$A10),--(询盘明细!$K$5:$K$504="7 已成交"))</f>
        <v/>
      </c>
      <c r="G10" s="18">
        <f>SUMPRODUCT(--(($B$4="")+(TEXT(询盘明细!$A$5:$A$504,"yyyy-mm")=$B$4)&gt;0),--(询盘明细!$D$5:$D$504=$A10),--(询盘明细!$K$5:$K$504="7 已成交"),IFERROR(询盘明细!$M$5:$M$504,0))</f>
        <v/>
      </c>
      <c r="H10" s="9">
        <f>IF($D10=0,IF($C10&gt;0,"⚠ 零询盘 → 考虑关掉",""),IF($E10&lt;=50,"✅ 效率好 → 加钱",IF($E10&lt;=100,"观察","⚠ 效率差 → 减/换素材")))</f>
        <v/>
      </c>
    </row>
    <row r="11">
      <c r="A11" s="9" t="inlineStr">
        <is>
          <t>KIT1 Kitchen 视频</t>
        </is>
      </c>
      <c r="B11" s="9" t="n"/>
      <c r="C11" s="24" t="n"/>
      <c r="D11" s="9">
        <f>SUMPRODUCT(--(($B$4="")+(TEXT(询盘明细!$A$5:$A$504,"yyyy-mm")=$B$4)&gt;0),--(询盘明细!$D$5:$D$504=$A11))</f>
        <v/>
      </c>
      <c r="E11" s="24">
        <f>IFERROR($C11/$D11,"")</f>
        <v/>
      </c>
      <c r="F11" s="9">
        <f>SUMPRODUCT(--(($B$4="")+(TEXT(询盘明细!$A$5:$A$504,"yyyy-mm")=$B$4)&gt;0),--(询盘明细!$D$5:$D$504=$A11),--(询盘明细!$K$5:$K$504="7 已成交"))</f>
        <v/>
      </c>
      <c r="G11" s="18">
        <f>SUMPRODUCT(--(($B$4="")+(TEXT(询盘明细!$A$5:$A$504,"yyyy-mm")=$B$4)&gt;0),--(询盘明细!$D$5:$D$504=$A11),--(询盘明细!$K$5:$K$504="7 已成交"),IFERROR(询盘明细!$M$5:$M$504,0))</f>
        <v/>
      </c>
      <c r="H11" s="9">
        <f>IF($D11=0,IF($C11&gt;0,"⚠ 零询盘 → 考虑关掉",""),IF($E11&lt;=50,"✅ 效率好 → 加钱",IF($E11&lt;=100,"观察","⚠ 效率差 → 减/换素材")))</f>
        <v/>
      </c>
    </row>
    <row r="12">
      <c r="A12" s="9" t="inlineStr">
        <is>
          <t>WSE Wabi-Sabi Eastern</t>
        </is>
      </c>
      <c r="B12" s="9" t="n"/>
      <c r="C12" s="24" t="n"/>
      <c r="D12" s="9">
        <f>SUMPRODUCT(--(($B$4="")+(TEXT(询盘明细!$A$5:$A$504,"yyyy-mm")=$B$4)&gt;0),--(询盘明细!$D$5:$D$504=$A12))</f>
        <v/>
      </c>
      <c r="E12" s="24">
        <f>IFERROR($C12/$D12,"")</f>
        <v/>
      </c>
      <c r="F12" s="9">
        <f>SUMPRODUCT(--(($B$4="")+(TEXT(询盘明细!$A$5:$A$504,"yyyy-mm")=$B$4)&gt;0),--(询盘明细!$D$5:$D$504=$A12),--(询盘明细!$K$5:$K$504="7 已成交"))</f>
        <v/>
      </c>
      <c r="G12" s="18">
        <f>SUMPRODUCT(--(($B$4="")+(TEXT(询盘明细!$A$5:$A$504,"yyyy-mm")=$B$4)&gt;0),--(询盘明细!$D$5:$D$504=$A12),--(询盘明细!$K$5:$K$504="7 已成交"),IFERROR(询盘明细!$M$5:$M$504,0))</f>
        <v/>
      </c>
      <c r="H12" s="9">
        <f>IF($D12=0,IF($C12&gt;0,"⚠ 零询盘 → 考虑关掉",""),IF($E12&lt;=50,"✅ 效率好 → 加钱",IF($E12&lt;=100,"观察","⚠ 效率差 → 减/换素材")))</f>
        <v/>
      </c>
    </row>
    <row r="13">
      <c r="A13" s="9" t="inlineStr">
        <is>
          <t>BRD Brand Intro</t>
        </is>
      </c>
      <c r="B13" s="9" t="n"/>
      <c r="C13" s="24" t="n"/>
      <c r="D13" s="9">
        <f>SUMPRODUCT(--(($B$4="")+(TEXT(询盘明细!$A$5:$A$504,"yyyy-mm")=$B$4)&gt;0),--(询盘明细!$D$5:$D$504=$A13))</f>
        <v/>
      </c>
      <c r="E13" s="24">
        <f>IFERROR($C13/$D13,"")</f>
        <v/>
      </c>
      <c r="F13" s="9">
        <f>SUMPRODUCT(--(($B$4="")+(TEXT(询盘明细!$A$5:$A$504,"yyyy-mm")=$B$4)&gt;0),--(询盘明细!$D$5:$D$504=$A13),--(询盘明细!$K$5:$K$504="7 已成交"))</f>
        <v/>
      </c>
      <c r="G13" s="18">
        <f>SUMPRODUCT(--(($B$4="")+(TEXT(询盘明细!$A$5:$A$504,"yyyy-mm")=$B$4)&gt;0),--(询盘明细!$D$5:$D$504=$A13),--(询盘明细!$K$5:$K$504="7 已成交"),IFERROR(询盘明细!$M$5:$M$504,0))</f>
        <v/>
      </c>
      <c r="H13" s="9">
        <f>IF($D13=0,IF($C13&gt;0,"⚠ 零询盘 → 考虑关掉",""),IF($E13&lt;=50,"✅ 效率好 → 加钱",IF($E13&lt;=100,"观察","⚠ 效率差 → 减/换素材")))</f>
        <v/>
      </c>
    </row>
    <row r="14">
      <c r="A14" s="9" t="inlineStr">
        <is>
          <t>ONE 单空间广告</t>
        </is>
      </c>
      <c r="B14" s="9" t="n"/>
      <c r="C14" s="24" t="n"/>
      <c r="D14" s="9">
        <f>SUMPRODUCT(--(($B$4="")+(TEXT(询盘明细!$A$5:$A$504,"yyyy-mm")=$B$4)&gt;0),--(询盘明细!$D$5:$D$504=$A14))</f>
        <v/>
      </c>
      <c r="E14" s="24">
        <f>IFERROR($C14/$D14,"")</f>
        <v/>
      </c>
      <c r="F14" s="9">
        <f>SUMPRODUCT(--(($B$4="")+(TEXT(询盘明细!$A$5:$A$504,"yyyy-mm")=$B$4)&gt;0),--(询盘明细!$D$5:$D$504=$A14),--(询盘明细!$K$5:$K$504="7 已成交"))</f>
        <v/>
      </c>
      <c r="G14" s="18">
        <f>SUMPRODUCT(--(($B$4="")+(TEXT(询盘明细!$A$5:$A$504,"yyyy-mm")=$B$4)&gt;0),--(询盘明细!$D$5:$D$504=$A14),--(询盘明细!$K$5:$K$504="7 已成交"),IFERROR(询盘明细!$M$5:$M$504,0))</f>
        <v/>
      </c>
      <c r="H14" s="9">
        <f>IF($D14=0,IF($C14&gt;0,"⚠ 零询盘 → 考虑关掉",""),IF($E14&lt;=50,"✅ 效率好 → 加钱",IF($E14&lt;=100,"观察","⚠ 效率差 → 减/换素材")))</f>
        <v/>
      </c>
    </row>
    <row r="15">
      <c r="A15" s="9" t="inlineStr">
        <is>
          <t>自然流量/非广告</t>
        </is>
      </c>
      <c r="B15" s="9" t="n"/>
      <c r="C15" s="24" t="n"/>
      <c r="D15" s="9">
        <f>SUMPRODUCT(--(($B$4="")+(TEXT(询盘明细!$A$5:$A$504,"yyyy-mm")=$B$4)&gt;0),--(询盘明细!$D$5:$D$504=$A15))</f>
        <v/>
      </c>
      <c r="E15" s="24">
        <f>IFERROR($C15/$D15,"")</f>
        <v/>
      </c>
      <c r="F15" s="9">
        <f>SUMPRODUCT(--(($B$4="")+(TEXT(询盘明细!$A$5:$A$504,"yyyy-mm")=$B$4)&gt;0),--(询盘明细!$D$5:$D$504=$A15),--(询盘明细!$K$5:$K$504="7 已成交"))</f>
        <v/>
      </c>
      <c r="G15" s="18">
        <f>SUMPRODUCT(--(($B$4="")+(TEXT(询盘明细!$A$5:$A$504,"yyyy-mm")=$B$4)&gt;0),--(询盘明细!$D$5:$D$504=$A15),--(询盘明细!$K$5:$K$504="7 已成交"),IFERROR(询盘明细!$M$5:$M$504,0))</f>
        <v/>
      </c>
      <c r="H15" s="9">
        <f>IF($D15=0,IF($C15&gt;0,"⚠ 零询盘 → 考虑关掉",""),IF($E15&lt;=50,"✅ 效率好 → 加钱",IF($E15&lt;=100,"观察","⚠ 效率差 → 减/换素材")))</f>
        <v/>
      </c>
    </row>
    <row r="16">
      <c r="A16" s="9" t="inlineStr">
        <is>
          <t>不确定</t>
        </is>
      </c>
      <c r="B16" s="9" t="n"/>
      <c r="C16" s="24" t="n"/>
      <c r="D16" s="9">
        <f>SUMPRODUCT(--(($B$4="")+(TEXT(询盘明细!$A$5:$A$504,"yyyy-mm")=$B$4)&gt;0),--(询盘明细!$D$5:$D$504=$A16))</f>
        <v/>
      </c>
      <c r="E16" s="24">
        <f>IFERROR($C16/$D16,"")</f>
        <v/>
      </c>
      <c r="F16" s="9">
        <f>SUMPRODUCT(--(($B$4="")+(TEXT(询盘明细!$A$5:$A$504,"yyyy-mm")=$B$4)&gt;0),--(询盘明细!$D$5:$D$504=$A16),--(询盘明细!$K$5:$K$504="7 已成交"))</f>
        <v/>
      </c>
      <c r="G16" s="18">
        <f>SUMPRODUCT(--(($B$4="")+(TEXT(询盘明细!$A$5:$A$504,"yyyy-mm")=$B$4)&gt;0),--(询盘明细!$D$5:$D$504=$A16),--(询盘明细!$K$5:$K$504="7 已成交"),IFERROR(询盘明细!$M$5:$M$504,0))</f>
        <v/>
      </c>
      <c r="H16" s="9">
        <f>IF($D16=0,IF($C16&gt;0,"⚠ 零询盘 → 考虑关掉",""),IF($E16&lt;=50,"✅ 效率好 → 加钱",IF($E16&lt;=100,"观察","⚠ 效率差 → 减/换素材")))</f>
        <v/>
      </c>
    </row>
    <row r="17"/>
    <row r="18">
      <c r="A18" s="7" t="inlineStr">
        <is>
          <t>判断阈值参考：诊断书历史数据 —— Book Rack RM32/PM、Kitchen Case Study RM24/PM（最好）；Wabi-Sabi RM99/PM（最差）；Brand Intro RM417 花费 0 询盘。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2026-08-19T03:49:53Z</dcterms:created>
  <dcterms:modified xsi:type="dcterms:W3CDTF">2026-08-19T03:50:17Z</dcterms:modified>
</cp:coreProperties>
</file>